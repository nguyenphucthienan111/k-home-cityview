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53DB051D-42F1-4340-8B21-9DDF7D2DA0EA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ĐIỀN THÔNG TIN " sheetId="1" r:id="rId1"/>
    <sheet name="CITY VIEW" sheetId="2" r:id="rId2"/>
    <sheet name="MIDTOWN" sheetId="3" r:id="rId3"/>
    <sheet name="AVENUE" sheetId="4" r:id="rId4"/>
    <sheet name="Lãi Va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xqJTDLBv97RGdlhGMV1EBQJ8PnXNt4sDwl+6Vl1Ut3Y="/>
    </ext>
  </extLst>
</workbook>
</file>

<file path=xl/calcChain.xml><?xml version="1.0" encoding="utf-8"?>
<calcChain xmlns="http://schemas.openxmlformats.org/spreadsheetml/2006/main">
  <c r="C43" i="3" l="1"/>
  <c r="B43" i="3"/>
  <c r="C48" i="2"/>
  <c r="C42" i="3"/>
  <c r="E16" i="2"/>
  <c r="A13" i="5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B12" i="5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D6" i="5"/>
  <c r="E1" i="5"/>
  <c r="D1" i="5"/>
  <c r="B48" i="4"/>
  <c r="B31" i="4"/>
  <c r="C8" i="4"/>
  <c r="C37" i="4" s="1"/>
  <c r="C6" i="4"/>
  <c r="C35" i="4" s="1"/>
  <c r="C5" i="4"/>
  <c r="E34" i="4" s="1"/>
  <c r="C4" i="4"/>
  <c r="D34" i="4" s="1"/>
  <c r="C3" i="4"/>
  <c r="C34" i="4" s="1"/>
  <c r="B42" i="3"/>
  <c r="C8" i="3"/>
  <c r="C32" i="3" s="1"/>
  <c r="C6" i="3"/>
  <c r="C7" i="3" s="1"/>
  <c r="C5" i="3"/>
  <c r="E29" i="3" s="1"/>
  <c r="C4" i="3"/>
  <c r="D29" i="3" s="1"/>
  <c r="C3" i="3"/>
  <c r="C29" i="3" s="1"/>
  <c r="C47" i="2"/>
  <c r="B47" i="2"/>
  <c r="B30" i="2"/>
  <c r="C8" i="2"/>
  <c r="C36" i="2" s="1"/>
  <c r="C6" i="2"/>
  <c r="C7" i="2" s="1"/>
  <c r="C5" i="2"/>
  <c r="E33" i="2" s="1"/>
  <c r="C4" i="2"/>
  <c r="D33" i="2" s="1"/>
  <c r="C3" i="2"/>
  <c r="C33" i="2" s="1"/>
  <c r="B6" i="1"/>
  <c r="B7" i="1" s="1"/>
  <c r="C2" i="5" s="1"/>
  <c r="C7" i="4" l="1"/>
  <c r="C9" i="4" s="1"/>
  <c r="C18" i="4" s="1"/>
  <c r="C31" i="3"/>
  <c r="C33" i="3" s="1"/>
  <c r="D41" i="3" s="1"/>
  <c r="C9" i="3"/>
  <c r="C17" i="3" s="1"/>
  <c r="C30" i="3"/>
  <c r="C14" i="4"/>
  <c r="E14" i="4" s="1"/>
  <c r="C26" i="4"/>
  <c r="C16" i="4"/>
  <c r="E16" i="4" s="1"/>
  <c r="C30" i="4"/>
  <c r="C6" i="5"/>
  <c r="C5" i="5"/>
  <c r="C4" i="5"/>
  <c r="C12" i="5" s="1"/>
  <c r="C3" i="5"/>
  <c r="C35" i="2"/>
  <c r="C37" i="2" s="1"/>
  <c r="C9" i="2"/>
  <c r="C24" i="3"/>
  <c r="C36" i="4"/>
  <c r="C38" i="4" s="1"/>
  <c r="C34" i="2"/>
  <c r="C21" i="3"/>
  <c r="C22" i="3"/>
  <c r="C14" i="2" l="1"/>
  <c r="E14" i="2" s="1"/>
  <c r="D37" i="3"/>
  <c r="C23" i="4"/>
  <c r="C19" i="4"/>
  <c r="D38" i="3"/>
  <c r="C17" i="4"/>
  <c r="C27" i="4"/>
  <c r="C15" i="4"/>
  <c r="E15" i="4" s="1"/>
  <c r="C25" i="4"/>
  <c r="C20" i="4"/>
  <c r="C21" i="4"/>
  <c r="C24" i="4"/>
  <c r="C28" i="4"/>
  <c r="C29" i="4"/>
  <c r="C13" i="4"/>
  <c r="C22" i="4"/>
  <c r="C15" i="3"/>
  <c r="E15" i="3" s="1"/>
  <c r="D39" i="3"/>
  <c r="C19" i="3"/>
  <c r="D40" i="3"/>
  <c r="C14" i="3"/>
  <c r="E14" i="3" s="1"/>
  <c r="C25" i="3"/>
  <c r="C16" i="3"/>
  <c r="E16" i="3" s="1"/>
  <c r="C23" i="3"/>
  <c r="C18" i="3"/>
  <c r="C13" i="3"/>
  <c r="C20" i="3"/>
  <c r="D46" i="2"/>
  <c r="D45" i="2"/>
  <c r="D44" i="2"/>
  <c r="D43" i="2"/>
  <c r="D42" i="2"/>
  <c r="D41" i="2"/>
  <c r="D12" i="5"/>
  <c r="E12" i="5"/>
  <c r="C23" i="2"/>
  <c r="C16" i="2"/>
  <c r="C22" i="2"/>
  <c r="C29" i="2"/>
  <c r="C21" i="2"/>
  <c r="C15" i="2"/>
  <c r="E15" i="2" s="1"/>
  <c r="C28" i="2"/>
  <c r="C20" i="2"/>
  <c r="C27" i="2"/>
  <c r="C19" i="2"/>
  <c r="C13" i="2"/>
  <c r="C18" i="2"/>
  <c r="C26" i="2"/>
  <c r="C25" i="2"/>
  <c r="C17" i="2"/>
  <c r="C24" i="2"/>
  <c r="D46" i="4"/>
  <c r="D45" i="4"/>
  <c r="D44" i="4"/>
  <c r="D42" i="4"/>
  <c r="D43" i="4"/>
  <c r="D47" i="4"/>
  <c r="C26" i="3" l="1"/>
  <c r="D42" i="3"/>
  <c r="C30" i="2"/>
  <c r="C31" i="4"/>
  <c r="F12" i="5"/>
  <c r="C49" i="4"/>
  <c r="C13" i="5"/>
  <c r="B48" i="2"/>
  <c r="D47" i="2"/>
  <c r="B49" i="4"/>
  <c r="D48" i="4"/>
  <c r="E13" i="5" l="1"/>
  <c r="D13" i="5"/>
  <c r="E14" i="5" s="1"/>
  <c r="C14" i="5" l="1"/>
  <c r="D14" i="5" s="1"/>
  <c r="F14" i="5" s="1"/>
  <c r="F13" i="5"/>
  <c r="E15" i="5" l="1"/>
  <c r="C15" i="5"/>
  <c r="D15" i="5"/>
  <c r="F15" i="5" s="1"/>
  <c r="E16" i="5" l="1"/>
  <c r="C16" i="5"/>
  <c r="D16" i="5" l="1"/>
  <c r="F16" i="5" s="1"/>
  <c r="C17" i="5" l="1"/>
  <c r="D17" i="5" s="1"/>
  <c r="E17" i="5"/>
  <c r="F17" i="5" l="1"/>
  <c r="C18" i="5"/>
  <c r="D18" i="5" s="1"/>
  <c r="E18" i="5"/>
  <c r="F18" i="5" l="1"/>
  <c r="C19" i="5"/>
  <c r="D19" i="5" s="1"/>
  <c r="E19" i="5"/>
  <c r="F19" i="5" l="1"/>
  <c r="E20" i="5"/>
  <c r="C20" i="5"/>
  <c r="D20" i="5" l="1"/>
  <c r="F20" i="5" s="1"/>
  <c r="C21" i="5" l="1"/>
  <c r="D21" i="5" s="1"/>
  <c r="E21" i="5"/>
  <c r="F21" i="5" l="1"/>
  <c r="C22" i="5"/>
  <c r="D22" i="5" s="1"/>
  <c r="E22" i="5"/>
  <c r="F22" i="5" l="1"/>
  <c r="E23" i="5"/>
  <c r="C23" i="5"/>
  <c r="D23" i="5" l="1"/>
  <c r="F23" i="5" s="1"/>
  <c r="C24" i="5" l="1"/>
  <c r="E24" i="5"/>
  <c r="D24" i="5" l="1"/>
  <c r="C25" i="5" s="1"/>
  <c r="F24" i="5" l="1"/>
  <c r="D25" i="5"/>
  <c r="E25" i="5"/>
  <c r="F25" i="5" l="1"/>
  <c r="C26" i="5"/>
  <c r="E26" i="5"/>
  <c r="D26" i="5" l="1"/>
  <c r="F26" i="5" s="1"/>
  <c r="E27" i="5" l="1"/>
  <c r="C27" i="5"/>
  <c r="D27" i="5" s="1"/>
  <c r="F27" i="5" s="1"/>
  <c r="E28" i="5" l="1"/>
  <c r="C28" i="5"/>
  <c r="D28" i="5" s="1"/>
  <c r="F28" i="5" s="1"/>
  <c r="E29" i="5" l="1"/>
  <c r="C29" i="5"/>
  <c r="D29" i="5" s="1"/>
  <c r="E30" i="5" l="1"/>
  <c r="C30" i="5"/>
  <c r="D30" i="5" s="1"/>
  <c r="F30" i="5" s="1"/>
  <c r="F29" i="5"/>
  <c r="E31" i="5" l="1"/>
  <c r="C31" i="5"/>
  <c r="D31" i="5" l="1"/>
  <c r="F31" i="5" s="1"/>
  <c r="C32" i="5" l="1"/>
  <c r="D32" i="5" s="1"/>
  <c r="C33" i="5" s="1"/>
  <c r="E32" i="5"/>
  <c r="E33" i="5" l="1"/>
  <c r="D33" i="5"/>
  <c r="C34" i="5" s="1"/>
  <c r="F32" i="5"/>
  <c r="E34" i="5" l="1"/>
  <c r="F33" i="5"/>
  <c r="D34" i="5"/>
  <c r="E35" i="5" s="1"/>
  <c r="F34" i="5" l="1"/>
  <c r="C35" i="5"/>
  <c r="D35" i="5" s="1"/>
  <c r="F35" i="5" s="1"/>
  <c r="C36" i="5" l="1"/>
  <c r="E36" i="5"/>
  <c r="D36" i="5" l="1"/>
  <c r="C37" i="5" s="1"/>
  <c r="D37" i="5" s="1"/>
  <c r="F36" i="5" l="1"/>
  <c r="E37" i="5"/>
  <c r="F37" i="5" s="1"/>
  <c r="C38" i="5"/>
  <c r="D38" i="5" s="1"/>
  <c r="E38" i="5"/>
  <c r="F38" i="5" l="1"/>
  <c r="E39" i="5"/>
  <c r="C39" i="5"/>
  <c r="D39" i="5" s="1"/>
  <c r="F39" i="5" l="1"/>
  <c r="C40" i="5"/>
  <c r="E40" i="5"/>
  <c r="D40" i="5" l="1"/>
  <c r="F40" i="5" s="1"/>
  <c r="C41" i="5" l="1"/>
  <c r="D41" i="5" s="1"/>
  <c r="E41" i="5"/>
  <c r="F41" i="5" l="1"/>
  <c r="C42" i="5"/>
  <c r="D42" i="5" s="1"/>
  <c r="E42" i="5"/>
  <c r="F42" i="5" l="1"/>
  <c r="C43" i="5"/>
  <c r="D43" i="5" s="1"/>
  <c r="E43" i="5"/>
  <c r="F43" i="5" l="1"/>
  <c r="C44" i="5"/>
  <c r="E44" i="5"/>
  <c r="D44" i="5" l="1"/>
  <c r="F44" i="5" s="1"/>
  <c r="E45" i="5" l="1"/>
  <c r="C45" i="5"/>
  <c r="D45" i="5" s="1"/>
  <c r="F45" i="5" l="1"/>
  <c r="C46" i="5"/>
  <c r="D46" i="5" s="1"/>
  <c r="E46" i="5"/>
  <c r="F46" i="5" l="1"/>
  <c r="C47" i="5"/>
  <c r="D47" i="5" s="1"/>
  <c r="F47" i="5" s="1"/>
  <c r="E47" i="5"/>
  <c r="C48" i="5" l="1"/>
  <c r="E48" i="5"/>
  <c r="D48" i="5" l="1"/>
  <c r="F48" i="5" s="1"/>
  <c r="C49" i="5" l="1"/>
  <c r="D49" i="5" s="1"/>
  <c r="E49" i="5"/>
  <c r="F49" i="5" l="1"/>
  <c r="C50" i="5"/>
  <c r="D50" i="5" s="1"/>
  <c r="F50" i="5" s="1"/>
  <c r="E50" i="5"/>
  <c r="E51" i="5" l="1"/>
  <c r="C51" i="5"/>
  <c r="D51" i="5" s="1"/>
  <c r="F51" i="5" l="1"/>
  <c r="C52" i="5"/>
  <c r="E52" i="5"/>
  <c r="D52" i="5" l="1"/>
  <c r="F52" i="5" s="1"/>
  <c r="E53" i="5"/>
  <c r="C53" i="5" l="1"/>
  <c r="D53" i="5" s="1"/>
  <c r="F53" i="5" s="1"/>
  <c r="E54" i="5" l="1"/>
  <c r="C54" i="5"/>
  <c r="D54" i="5"/>
  <c r="F54" i="5" s="1"/>
  <c r="C55" i="5" l="1"/>
  <c r="D55" i="5" s="1"/>
  <c r="E55" i="5"/>
  <c r="F55" i="5" l="1"/>
  <c r="C56" i="5"/>
  <c r="E56" i="5"/>
  <c r="D56" i="5" l="1"/>
  <c r="F56" i="5" s="1"/>
  <c r="C57" i="5" l="1"/>
  <c r="D57" i="5" s="1"/>
  <c r="E57" i="5"/>
  <c r="F57" i="5" l="1"/>
  <c r="C58" i="5"/>
  <c r="D58" i="5" s="1"/>
  <c r="E58" i="5"/>
  <c r="F58" i="5" l="1"/>
  <c r="E59" i="5"/>
  <c r="C59" i="5"/>
  <c r="D59" i="5" s="1"/>
  <c r="F59" i="5" s="1"/>
  <c r="C60" i="5" l="1"/>
  <c r="E60" i="5"/>
  <c r="D60" i="5" l="1"/>
  <c r="F60" i="5" s="1"/>
  <c r="E61" i="5" l="1"/>
  <c r="C61" i="5"/>
  <c r="D61" i="5" s="1"/>
  <c r="E62" i="5" l="1"/>
  <c r="C62" i="5"/>
  <c r="F61" i="5"/>
  <c r="D62" i="5" l="1"/>
  <c r="E63" i="5" s="1"/>
  <c r="F62" i="5"/>
  <c r="C63" i="5"/>
  <c r="D63" i="5" s="1"/>
  <c r="F63" i="5" l="1"/>
  <c r="C64" i="5"/>
  <c r="D64" i="5" s="1"/>
  <c r="E64" i="5"/>
  <c r="E65" i="5" l="1"/>
  <c r="C65" i="5"/>
  <c r="D65" i="5" s="1"/>
  <c r="E66" i="5" s="1"/>
  <c r="F64" i="5"/>
  <c r="C66" i="5" l="1"/>
  <c r="D66" i="5" s="1"/>
  <c r="F66" i="5" s="1"/>
  <c r="F65" i="5"/>
  <c r="E67" i="5" l="1"/>
  <c r="C67" i="5"/>
  <c r="D67" i="5"/>
  <c r="F67" i="5" s="1"/>
  <c r="C68" i="5" l="1"/>
  <c r="D68" i="5" s="1"/>
  <c r="E68" i="5"/>
  <c r="E69" i="5" l="1"/>
  <c r="C69" i="5"/>
  <c r="D69" i="5" s="1"/>
  <c r="F68" i="5"/>
  <c r="F69" i="5" l="1"/>
  <c r="C70" i="5"/>
  <c r="D70" i="5" s="1"/>
  <c r="E70" i="5"/>
  <c r="F70" i="5" l="1"/>
  <c r="E71" i="5"/>
  <c r="C71" i="5"/>
  <c r="D71" i="5" s="1"/>
  <c r="F71" i="5" s="1"/>
  <c r="C72" i="5" l="1"/>
  <c r="E72" i="5"/>
  <c r="D72" i="5" l="1"/>
  <c r="F72" i="5" s="1"/>
  <c r="C73" i="5" l="1"/>
  <c r="D73" i="5" s="1"/>
  <c r="E73" i="5"/>
  <c r="F73" i="5" l="1"/>
  <c r="C74" i="5"/>
  <c r="E74" i="5"/>
  <c r="D74" i="5" l="1"/>
  <c r="F74" i="5" s="1"/>
  <c r="E75" i="5" l="1"/>
  <c r="C75" i="5"/>
  <c r="D75" i="5" s="1"/>
  <c r="F75" i="5" s="1"/>
  <c r="C76" i="5" l="1"/>
  <c r="E76" i="5"/>
  <c r="D76" i="5" l="1"/>
  <c r="F76" i="5" s="1"/>
  <c r="C77" i="5" l="1"/>
  <c r="D77" i="5" s="1"/>
  <c r="E77" i="5"/>
  <c r="F77" i="5" l="1"/>
  <c r="E78" i="5"/>
  <c r="C78" i="5"/>
  <c r="D78" i="5"/>
  <c r="C79" i="5" s="1"/>
  <c r="E79" i="5"/>
  <c r="F78" i="5" l="1"/>
  <c r="D79" i="5"/>
  <c r="F79" i="5" s="1"/>
  <c r="C80" i="5" l="1"/>
  <c r="E80" i="5"/>
  <c r="D80" i="5" l="1"/>
  <c r="F80" i="5" s="1"/>
  <c r="E81" i="5" l="1"/>
  <c r="C81" i="5"/>
  <c r="D81" i="5" s="1"/>
  <c r="F81" i="5" s="1"/>
  <c r="C82" i="5" l="1"/>
  <c r="D82" i="5" s="1"/>
  <c r="E82" i="5"/>
  <c r="F82" i="5" l="1"/>
  <c r="E83" i="5"/>
  <c r="C83" i="5"/>
  <c r="D83" i="5" s="1"/>
  <c r="F83" i="5" s="1"/>
  <c r="C84" i="5" l="1"/>
  <c r="E84" i="5"/>
  <c r="D84" i="5" l="1"/>
  <c r="F84" i="5" s="1"/>
  <c r="E85" i="5" l="1"/>
  <c r="C85" i="5"/>
  <c r="D85" i="5" s="1"/>
  <c r="F85" i="5" s="1"/>
  <c r="E86" i="5" l="1"/>
  <c r="C86" i="5"/>
  <c r="D86" i="5" s="1"/>
  <c r="F86" i="5" l="1"/>
  <c r="E87" i="5"/>
  <c r="C87" i="5"/>
  <c r="D87" i="5" s="1"/>
  <c r="F87" i="5" s="1"/>
  <c r="C88" i="5" l="1"/>
  <c r="E88" i="5"/>
  <c r="D88" i="5" l="1"/>
  <c r="F88" i="5" s="1"/>
  <c r="C89" i="5"/>
  <c r="E89" i="5"/>
  <c r="D89" i="5" l="1"/>
  <c r="F89" i="5" s="1"/>
  <c r="E90" i="5"/>
  <c r="C90" i="5" l="1"/>
  <c r="D90" i="5"/>
  <c r="F90" i="5" s="1"/>
  <c r="E91" i="5" l="1"/>
  <c r="C91" i="5"/>
  <c r="D91" i="5" s="1"/>
  <c r="F91" i="5" l="1"/>
  <c r="C92" i="5"/>
  <c r="E92" i="5"/>
  <c r="D92" i="5" l="1"/>
  <c r="F92" i="5" s="1"/>
  <c r="E93" i="5" l="1"/>
  <c r="C93" i="5"/>
  <c r="D93" i="5" s="1"/>
  <c r="F93" i="5" s="1"/>
  <c r="C94" i="5" l="1"/>
  <c r="D94" i="5" s="1"/>
  <c r="E94" i="5"/>
  <c r="F94" i="5" l="1"/>
  <c r="E95" i="5"/>
  <c r="C95" i="5"/>
  <c r="D95" i="5" s="1"/>
  <c r="F95" i="5" l="1"/>
  <c r="C96" i="5"/>
  <c r="D96" i="5" s="1"/>
  <c r="E96" i="5"/>
  <c r="E97" i="5" l="1"/>
  <c r="C97" i="5"/>
  <c r="D97" i="5" s="1"/>
  <c r="F97" i="5" s="1"/>
  <c r="F96" i="5"/>
  <c r="C98" i="5" l="1"/>
  <c r="D98" i="5" s="1"/>
  <c r="E98" i="5"/>
  <c r="F98" i="5" l="1"/>
  <c r="C99" i="5"/>
  <c r="D99" i="5" s="1"/>
  <c r="E99" i="5"/>
  <c r="F99" i="5" l="1"/>
  <c r="C100" i="5"/>
  <c r="D100" i="5" s="1"/>
  <c r="E100" i="5"/>
  <c r="E101" i="5" l="1"/>
  <c r="C101" i="5"/>
  <c r="D101" i="5" s="1"/>
  <c r="F101" i="5" s="1"/>
  <c r="F100" i="5"/>
  <c r="C102" i="5" l="1"/>
  <c r="D102" i="5" s="1"/>
  <c r="E102" i="5"/>
  <c r="F102" i="5" l="1"/>
  <c r="E103" i="5"/>
  <c r="C103" i="5"/>
  <c r="D103" i="5" s="1"/>
  <c r="F103" i="5" s="1"/>
  <c r="C104" i="5" l="1"/>
  <c r="E104" i="5"/>
  <c r="D104" i="5" l="1"/>
  <c r="F104" i="5" s="1"/>
  <c r="E105" i="5" l="1"/>
  <c r="C105" i="5"/>
  <c r="D105" i="5"/>
  <c r="F105" i="5" s="1"/>
  <c r="C106" i="5" l="1"/>
  <c r="E106" i="5"/>
  <c r="D106" i="5"/>
  <c r="C107" i="5"/>
  <c r="E107" i="5"/>
  <c r="F106" i="5" l="1"/>
  <c r="D107" i="5"/>
  <c r="F107" i="5" s="1"/>
  <c r="C108" i="5" l="1"/>
  <c r="E108" i="5"/>
  <c r="D108" i="5" l="1"/>
  <c r="F108" i="5" s="1"/>
  <c r="C109" i="5"/>
  <c r="E109" i="5"/>
  <c r="D109" i="5" l="1"/>
  <c r="F109" i="5" s="1"/>
  <c r="C110" i="5"/>
  <c r="E110" i="5" l="1"/>
  <c r="D110" i="5"/>
  <c r="F110" i="5" s="1"/>
  <c r="C111" i="5"/>
  <c r="E111" i="5"/>
  <c r="D111" i="5" l="1"/>
  <c r="F111" i="5" s="1"/>
  <c r="C112" i="5" l="1"/>
  <c r="E112" i="5"/>
  <c r="D112" i="5" l="1"/>
  <c r="F112" i="5" s="1"/>
  <c r="E113" i="5"/>
  <c r="C113" i="5" l="1"/>
  <c r="D113" i="5" s="1"/>
  <c r="F113" i="5" l="1"/>
  <c r="C114" i="5"/>
  <c r="E114" i="5"/>
  <c r="D114" i="5"/>
  <c r="F114" i="5" s="1"/>
  <c r="E115" i="5"/>
  <c r="C115" i="5" l="1"/>
  <c r="D115" i="5" s="1"/>
  <c r="F115" i="5" s="1"/>
  <c r="C116" i="5" l="1"/>
  <c r="E116" i="5"/>
  <c r="D116" i="5" l="1"/>
  <c r="F116" i="5" s="1"/>
  <c r="C117" i="5" l="1"/>
  <c r="E117" i="5"/>
  <c r="D117" i="5" l="1"/>
  <c r="F117" i="5" s="1"/>
  <c r="E118" i="5" l="1"/>
  <c r="C118" i="5"/>
  <c r="D118" i="5" l="1"/>
  <c r="F118" i="5" s="1"/>
  <c r="E119" i="5" l="1"/>
  <c r="C119" i="5"/>
  <c r="D119" i="5"/>
  <c r="F119" i="5" s="1"/>
  <c r="C120" i="5" l="1"/>
  <c r="D120" i="5" s="1"/>
  <c r="E120" i="5"/>
  <c r="F120" i="5" l="1"/>
  <c r="E121" i="5"/>
  <c r="C121" i="5"/>
  <c r="D121" i="5" l="1"/>
  <c r="F121" i="5" s="1"/>
  <c r="C122" i="5"/>
  <c r="E122" i="5"/>
  <c r="D122" i="5" l="1"/>
  <c r="F122" i="5" s="1"/>
  <c r="E123" i="5" l="1"/>
  <c r="C123" i="5"/>
  <c r="D123" i="5" s="1"/>
  <c r="F123" i="5" s="1"/>
  <c r="C124" i="5" l="1"/>
  <c r="E124" i="5"/>
  <c r="D124" i="5" l="1"/>
  <c r="F124" i="5" s="1"/>
  <c r="E125" i="5" l="1"/>
  <c r="C125" i="5"/>
  <c r="D125" i="5" s="1"/>
  <c r="F125" i="5" s="1"/>
  <c r="E126" i="5" l="1"/>
  <c r="C126" i="5"/>
  <c r="D126" i="5"/>
  <c r="E127" i="5" s="1"/>
  <c r="F126" i="5" l="1"/>
  <c r="C127" i="5"/>
  <c r="D127" i="5" s="1"/>
  <c r="F127" i="5" s="1"/>
  <c r="C128" i="5" l="1"/>
  <c r="E128" i="5"/>
  <c r="D128" i="5" l="1"/>
  <c r="F128" i="5" s="1"/>
  <c r="C129" i="5"/>
  <c r="E129" i="5"/>
  <c r="D129" i="5" l="1"/>
  <c r="F129" i="5" s="1"/>
  <c r="E130" i="5" l="1"/>
  <c r="C130" i="5"/>
  <c r="D130" i="5" l="1"/>
  <c r="F130" i="5" s="1"/>
  <c r="E131" i="5" l="1"/>
  <c r="C131" i="5"/>
  <c r="D131" i="5" s="1"/>
  <c r="F131" i="5" s="1"/>
  <c r="C132" i="5" l="1"/>
  <c r="E132" i="5"/>
  <c r="D132" i="5" l="1"/>
  <c r="F132" i="5" s="1"/>
  <c r="C133" i="5" l="1"/>
  <c r="E133" i="5"/>
  <c r="D133" i="5" l="1"/>
  <c r="F133" i="5" s="1"/>
  <c r="E134" i="5"/>
  <c r="C134" i="5" l="1"/>
  <c r="D134" i="5" s="1"/>
  <c r="F134" i="5" s="1"/>
  <c r="E135" i="5" l="1"/>
  <c r="C135" i="5"/>
  <c r="D135" i="5" s="1"/>
  <c r="F135" i="5" l="1"/>
  <c r="C136" i="5"/>
  <c r="E136" i="5"/>
  <c r="D136" i="5" l="1"/>
  <c r="F136" i="5" s="1"/>
  <c r="C137" i="5"/>
  <c r="D137" i="5" s="1"/>
  <c r="E137" i="5" l="1"/>
  <c r="F137" i="5" s="1"/>
  <c r="E138" i="5"/>
  <c r="C138" i="5"/>
  <c r="D138" i="5" s="1"/>
  <c r="F138" i="5" l="1"/>
  <c r="E139" i="5"/>
  <c r="C139" i="5"/>
  <c r="D139" i="5" s="1"/>
  <c r="F139" i="5" s="1"/>
  <c r="C140" i="5" l="1"/>
  <c r="E140" i="5"/>
  <c r="D140" i="5" l="1"/>
  <c r="F140" i="5" s="1"/>
  <c r="C141" i="5"/>
  <c r="D141" i="5" s="1"/>
  <c r="E142" i="5" l="1"/>
  <c r="C142" i="5"/>
  <c r="E141" i="5"/>
  <c r="F141" i="5" s="1"/>
  <c r="D142" i="5"/>
  <c r="F142" i="5" s="1"/>
  <c r="C143" i="5"/>
  <c r="E143" i="5"/>
  <c r="D143" i="5" l="1"/>
  <c r="F143" i="5" s="1"/>
  <c r="E144" i="5"/>
  <c r="C144" i="5" l="1"/>
  <c r="D144" i="5" s="1"/>
  <c r="F144" i="5" s="1"/>
  <c r="E145" i="5" l="1"/>
  <c r="C145" i="5"/>
  <c r="D145" i="5" s="1"/>
  <c r="F145" i="5" s="1"/>
  <c r="E146" i="5" l="1"/>
  <c r="C146" i="5"/>
  <c r="D146" i="5" l="1"/>
  <c r="F146" i="5" s="1"/>
  <c r="E147" i="5"/>
  <c r="C147" i="5"/>
  <c r="D147" i="5" l="1"/>
  <c r="F147" i="5" s="1"/>
  <c r="C148" i="5" l="1"/>
  <c r="D148" i="5" s="1"/>
  <c r="E148" i="5"/>
  <c r="F148" i="5" l="1"/>
  <c r="E149" i="5"/>
  <c r="C149" i="5"/>
  <c r="D149" i="5" s="1"/>
  <c r="F149" i="5" s="1"/>
  <c r="E150" i="5" l="1"/>
  <c r="C150" i="5"/>
  <c r="D150" i="5" l="1"/>
  <c r="F150" i="5" s="1"/>
  <c r="C151" i="5" l="1"/>
  <c r="D151" i="5" s="1"/>
  <c r="F151" i="5" s="1"/>
  <c r="E151" i="5"/>
  <c r="C152" i="5" l="1"/>
  <c r="D152" i="5" s="1"/>
  <c r="E152" i="5"/>
  <c r="F152" i="5" l="1"/>
  <c r="C153" i="5"/>
  <c r="D153" i="5" s="1"/>
  <c r="E153" i="5"/>
  <c r="F153" i="5" l="1"/>
  <c r="E154" i="5"/>
  <c r="C154" i="5"/>
  <c r="D154" i="5" l="1"/>
  <c r="F154" i="5" s="1"/>
  <c r="E155" i="5"/>
  <c r="C155" i="5" l="1"/>
  <c r="D155" i="5"/>
  <c r="F155" i="5" s="1"/>
  <c r="E156" i="5" l="1"/>
  <c r="C156" i="5"/>
  <c r="D156" i="5"/>
  <c r="F156" i="5" s="1"/>
  <c r="E157" i="5" l="1"/>
  <c r="C157" i="5"/>
  <c r="D157" i="5" s="1"/>
  <c r="F157" i="5" s="1"/>
  <c r="C158" i="5" l="1"/>
  <c r="E158" i="5"/>
  <c r="D158" i="5" l="1"/>
  <c r="F158" i="5" s="1"/>
  <c r="C159" i="5" l="1"/>
  <c r="D159" i="5" s="1"/>
  <c r="E159" i="5"/>
  <c r="F159" i="5" l="1"/>
  <c r="E160" i="5"/>
  <c r="C160" i="5"/>
  <c r="D160" i="5"/>
  <c r="F160" i="5" s="1"/>
  <c r="E161" i="5" l="1"/>
  <c r="C161" i="5"/>
  <c r="D161" i="5" l="1"/>
  <c r="F161" i="5" s="1"/>
  <c r="C162" i="5" l="1"/>
  <c r="E162" i="5"/>
  <c r="D162" i="5" l="1"/>
  <c r="F162" i="5" s="1"/>
  <c r="C163" i="5" l="1"/>
  <c r="D163" i="5" s="1"/>
  <c r="E163" i="5"/>
  <c r="F163" i="5" l="1"/>
  <c r="E164" i="5"/>
  <c r="C164" i="5"/>
  <c r="D164" i="5" s="1"/>
  <c r="F164" i="5" l="1"/>
  <c r="E165" i="5"/>
  <c r="C165" i="5"/>
  <c r="D165" i="5" l="1"/>
  <c r="F165" i="5" s="1"/>
  <c r="C166" i="5" l="1"/>
  <c r="E166" i="5"/>
  <c r="D166" i="5" l="1"/>
  <c r="F166" i="5" s="1"/>
  <c r="C167" i="5" l="1"/>
  <c r="E167" i="5"/>
  <c r="D167" i="5"/>
  <c r="F167" i="5" s="1"/>
  <c r="C168" i="5" l="1"/>
  <c r="D168" i="5" s="1"/>
  <c r="E168" i="5"/>
  <c r="F168" i="5" l="1"/>
  <c r="E169" i="5"/>
  <c r="C169" i="5"/>
  <c r="D169" i="5" l="1"/>
  <c r="F169" i="5" s="1"/>
  <c r="C170" i="5" l="1"/>
  <c r="E170" i="5"/>
  <c r="D170" i="5" l="1"/>
  <c r="F170" i="5" s="1"/>
  <c r="C171" i="5" l="1"/>
  <c r="D171" i="5" s="1"/>
  <c r="E171" i="5"/>
  <c r="F171" i="5" l="1"/>
  <c r="C172" i="5"/>
  <c r="D172" i="5" s="1"/>
  <c r="E172" i="5"/>
  <c r="F172" i="5" l="1"/>
  <c r="E173" i="5"/>
  <c r="C173" i="5"/>
  <c r="D173" i="5" l="1"/>
  <c r="F173" i="5" s="1"/>
  <c r="C174" i="5" l="1"/>
  <c r="E174" i="5"/>
  <c r="D174" i="5" l="1"/>
  <c r="F174" i="5" s="1"/>
  <c r="C175" i="5" l="1"/>
  <c r="D175" i="5" s="1"/>
  <c r="E175" i="5"/>
  <c r="F175" i="5" l="1"/>
  <c r="E176" i="5"/>
  <c r="C176" i="5"/>
  <c r="D176" i="5"/>
  <c r="F176" i="5" s="1"/>
  <c r="E177" i="5" l="1"/>
  <c r="C177" i="5"/>
  <c r="D177" i="5" l="1"/>
  <c r="F177" i="5" s="1"/>
  <c r="C178" i="5" l="1"/>
  <c r="E178" i="5"/>
  <c r="D178" i="5" l="1"/>
  <c r="F178" i="5" s="1"/>
  <c r="C179" i="5" l="1"/>
  <c r="E179" i="5"/>
  <c r="D179" i="5"/>
  <c r="E180" i="5"/>
  <c r="C180" i="5"/>
  <c r="F179" i="5" l="1"/>
  <c r="D180" i="5"/>
  <c r="F180" i="5" s="1"/>
  <c r="C181" i="5" l="1"/>
  <c r="E181" i="5"/>
  <c r="D181" i="5" l="1"/>
  <c r="F181" i="5" s="1"/>
  <c r="C182" i="5" l="1"/>
  <c r="E182" i="5"/>
  <c r="D182" i="5" l="1"/>
  <c r="F182" i="5" s="1"/>
  <c r="C183" i="5" l="1"/>
  <c r="D183" i="5" s="1"/>
  <c r="E183" i="5"/>
  <c r="F183" i="5" l="1"/>
  <c r="E184" i="5"/>
  <c r="C184" i="5"/>
  <c r="D184" i="5" l="1"/>
  <c r="F184" i="5" s="1"/>
  <c r="C185" i="5" l="1"/>
  <c r="D185" i="5" s="1"/>
  <c r="E185" i="5"/>
  <c r="E186" i="5" l="1"/>
  <c r="F185" i="5"/>
  <c r="C186" i="5"/>
  <c r="D186" i="5" l="1"/>
  <c r="F186" i="5" s="1"/>
  <c r="C187" i="5" l="1"/>
  <c r="D187" i="5" s="1"/>
  <c r="E188" i="5" s="1"/>
  <c r="E187" i="5"/>
  <c r="F187" i="5" l="1"/>
  <c r="C188" i="5"/>
  <c r="D188" i="5" l="1"/>
  <c r="F188" i="5" s="1"/>
  <c r="C189" i="5" l="1"/>
  <c r="E189" i="5"/>
  <c r="D189" i="5" l="1"/>
  <c r="F189" i="5" s="1"/>
  <c r="E190" i="5" l="1"/>
  <c r="C190" i="5"/>
  <c r="D190" i="5" l="1"/>
  <c r="F190" i="5" s="1"/>
  <c r="C191" i="5" l="1"/>
  <c r="E191" i="5"/>
  <c r="D191" i="5" l="1"/>
  <c r="F191" i="5" s="1"/>
  <c r="E192" i="5" l="1"/>
  <c r="C192" i="5"/>
  <c r="D192" i="5" s="1"/>
  <c r="F192" i="5" s="1"/>
  <c r="C193" i="5" l="1"/>
  <c r="E193" i="5"/>
  <c r="D193" i="5" l="1"/>
  <c r="F193" i="5" s="1"/>
  <c r="E194" i="5" l="1"/>
  <c r="C194" i="5"/>
  <c r="D194" i="5" l="1"/>
  <c r="F194" i="5" s="1"/>
  <c r="C195" i="5" l="1"/>
  <c r="E195" i="5"/>
  <c r="D195" i="5" l="1"/>
  <c r="F195" i="5" s="1"/>
  <c r="E196" i="5" l="1"/>
  <c r="C196" i="5"/>
  <c r="D196" i="5" l="1"/>
  <c r="F196" i="5" s="1"/>
  <c r="C197" i="5" l="1"/>
  <c r="E197" i="5"/>
  <c r="D197" i="5" l="1"/>
  <c r="F197" i="5" s="1"/>
  <c r="E198" i="5" l="1"/>
  <c r="C198" i="5"/>
  <c r="D198" i="5" l="1"/>
  <c r="F198" i="5" s="1"/>
  <c r="C199" i="5" l="1"/>
  <c r="D199" i="5" s="1"/>
  <c r="E199" i="5"/>
  <c r="F199" i="5" l="1"/>
  <c r="E200" i="5"/>
  <c r="C200" i="5"/>
  <c r="D200" i="5" l="1"/>
  <c r="F200" i="5" s="1"/>
  <c r="C201" i="5" l="1"/>
  <c r="E201" i="5"/>
  <c r="D201" i="5" l="1"/>
  <c r="F201" i="5" s="1"/>
  <c r="C202" i="5" l="1"/>
  <c r="D202" i="5" s="1"/>
  <c r="E202" i="5"/>
  <c r="F202" i="5" l="1"/>
  <c r="C203" i="5"/>
  <c r="E203" i="5"/>
  <c r="D203" i="5" l="1"/>
  <c r="F203" i="5" s="1"/>
  <c r="E204" i="5" l="1"/>
  <c r="C204" i="5"/>
  <c r="D204" i="5" l="1"/>
  <c r="F204" i="5" s="1"/>
  <c r="C205" i="5" l="1"/>
  <c r="D205" i="5" s="1"/>
  <c r="E205" i="5"/>
  <c r="F205" i="5" l="1"/>
  <c r="C206" i="5"/>
  <c r="E206" i="5"/>
  <c r="D206" i="5" l="1"/>
  <c r="F206" i="5" s="1"/>
  <c r="E207" i="5" l="1"/>
  <c r="C207" i="5"/>
  <c r="D207" i="5" l="1"/>
  <c r="F207" i="5" s="1"/>
  <c r="E208" i="5" l="1"/>
  <c r="C208" i="5"/>
  <c r="D208" i="5" l="1"/>
  <c r="F208" i="5" s="1"/>
  <c r="C209" i="5" l="1"/>
  <c r="E209" i="5"/>
  <c r="D209" i="5" l="1"/>
  <c r="F209" i="5" s="1"/>
  <c r="E210" i="5" l="1"/>
  <c r="C210" i="5"/>
  <c r="D210" i="5" l="1"/>
  <c r="F210" i="5" s="1"/>
  <c r="E211" i="5" l="1"/>
  <c r="C211" i="5"/>
  <c r="D211" i="5"/>
  <c r="F211" i="5" l="1"/>
  <c r="E212" i="5"/>
  <c r="C212" i="5"/>
  <c r="D212" i="5" l="1"/>
  <c r="F212" i="5" s="1"/>
  <c r="C213" i="5" l="1"/>
  <c r="E213" i="5"/>
  <c r="D213" i="5" l="1"/>
  <c r="F213" i="5" s="1"/>
  <c r="E214" i="5" l="1"/>
  <c r="C214" i="5"/>
  <c r="D214" i="5" s="1"/>
  <c r="F214" i="5" s="1"/>
  <c r="C215" i="5" l="1"/>
  <c r="E215" i="5"/>
  <c r="D215" i="5" l="1"/>
  <c r="F215" i="5" s="1"/>
  <c r="E216" i="5" l="1"/>
  <c r="C216" i="5"/>
  <c r="D216" i="5" l="1"/>
  <c r="F216" i="5" s="1"/>
  <c r="C217" i="5" l="1"/>
  <c r="D217" i="5" s="1"/>
  <c r="E217" i="5"/>
  <c r="F217" i="5" l="1"/>
  <c r="C218" i="5"/>
  <c r="E218" i="5"/>
  <c r="D218" i="5" l="1"/>
  <c r="F218" i="5" s="1"/>
  <c r="C219" i="5"/>
  <c r="D219" i="5" l="1"/>
  <c r="E220" i="5"/>
  <c r="E219" i="5"/>
  <c r="F219" i="5" l="1"/>
  <c r="C220" i="5"/>
  <c r="D220" i="5" l="1"/>
  <c r="F220" i="5" s="1"/>
  <c r="C221" i="5" l="1"/>
  <c r="D221" i="5"/>
  <c r="E221" i="5"/>
  <c r="C222" i="5" l="1"/>
  <c r="D222" i="5" s="1"/>
  <c r="E223" i="5" s="1"/>
  <c r="F221" i="5"/>
  <c r="E222" i="5"/>
  <c r="C223" i="5" l="1"/>
  <c r="D223" i="5" s="1"/>
  <c r="F223" i="5" s="1"/>
  <c r="F222" i="5"/>
  <c r="E224" i="5" l="1"/>
  <c r="C224" i="5"/>
  <c r="D224" i="5" l="1"/>
  <c r="F224" i="5" s="1"/>
  <c r="C225" i="5"/>
  <c r="D225" i="5" l="1"/>
  <c r="C226" i="5" s="1"/>
  <c r="E226" i="5"/>
  <c r="E225" i="5"/>
  <c r="D226" i="5" l="1"/>
  <c r="F226" i="5" s="1"/>
  <c r="F225" i="5"/>
  <c r="E227" i="5" l="1"/>
  <c r="C227" i="5"/>
  <c r="D227" i="5" l="1"/>
  <c r="F227" i="5" s="1"/>
  <c r="E228" i="5" l="1"/>
  <c r="C228" i="5"/>
  <c r="D228" i="5" l="1"/>
  <c r="F228" i="5" s="1"/>
  <c r="C229" i="5" l="1"/>
  <c r="D229" i="5" s="1"/>
  <c r="E229" i="5"/>
  <c r="E230" i="5" l="1"/>
  <c r="F229" i="5"/>
  <c r="C230" i="5"/>
  <c r="D230" i="5" l="1"/>
  <c r="F230" i="5" s="1"/>
  <c r="C231" i="5" l="1"/>
  <c r="E231" i="5"/>
  <c r="D231" i="5" l="1"/>
  <c r="F231" i="5" s="1"/>
  <c r="E232" i="5" l="1"/>
  <c r="C232" i="5"/>
  <c r="D232" i="5" l="1"/>
  <c r="F232" i="5" s="1"/>
  <c r="C233" i="5" l="1"/>
  <c r="E233" i="5"/>
  <c r="D233" i="5" l="1"/>
  <c r="F233" i="5" s="1"/>
  <c r="C234" i="5" l="1"/>
  <c r="E234" i="5"/>
  <c r="D234" i="5" l="1"/>
  <c r="F234" i="5" s="1"/>
  <c r="C235" i="5" l="1"/>
  <c r="E235" i="5"/>
  <c r="D235" i="5" l="1"/>
  <c r="F235" i="5" s="1"/>
  <c r="E236" i="5" l="1"/>
  <c r="C236" i="5"/>
  <c r="D236" i="5" l="1"/>
  <c r="F236" i="5" s="1"/>
  <c r="C237" i="5" l="1"/>
  <c r="D237" i="5" s="1"/>
  <c r="E237" i="5"/>
  <c r="F237" i="5" l="1"/>
  <c r="C238" i="5"/>
  <c r="E238" i="5"/>
  <c r="D238" i="5" l="1"/>
  <c r="F238" i="5" s="1"/>
  <c r="E239" i="5" l="1"/>
  <c r="C239" i="5"/>
  <c r="D239" i="5" l="1"/>
  <c r="F239" i="5" s="1"/>
  <c r="E240" i="5" l="1"/>
  <c r="C240" i="5"/>
  <c r="D240" i="5" l="1"/>
  <c r="F240" i="5" s="1"/>
  <c r="C241" i="5"/>
  <c r="D241" i="5" l="1"/>
  <c r="E241" i="5"/>
  <c r="F241" i="5" l="1"/>
  <c r="E242" i="5"/>
  <c r="C242" i="5"/>
  <c r="D242" i="5" l="1"/>
  <c r="F242" i="5" s="1"/>
  <c r="E243" i="5" l="1"/>
  <c r="C243" i="5"/>
  <c r="D243" i="5"/>
  <c r="F243" i="5" s="1"/>
  <c r="E244" i="5"/>
  <c r="C244" i="5" l="1"/>
  <c r="D244" i="5" l="1"/>
  <c r="F244" i="5" s="1"/>
  <c r="C245" i="5" l="1"/>
  <c r="E245" i="5"/>
  <c r="D245" i="5" l="1"/>
  <c r="F245" i="5" s="1"/>
  <c r="C246" i="5"/>
  <c r="E246" i="5" l="1"/>
  <c r="D246" i="5"/>
  <c r="F246" i="5" s="1"/>
  <c r="C247" i="5"/>
  <c r="E247" i="5" l="1"/>
  <c r="D247" i="5"/>
  <c r="F247" i="5" l="1"/>
  <c r="E248" i="5"/>
  <c r="C248" i="5"/>
  <c r="D248" i="5" l="1"/>
  <c r="F248" i="5" s="1"/>
  <c r="C249" i="5"/>
  <c r="D249" i="5" l="1"/>
  <c r="E250" i="5" s="1"/>
  <c r="E249" i="5"/>
  <c r="C250" i="5" l="1"/>
  <c r="D250" i="5" s="1"/>
  <c r="F250" i="5" s="1"/>
  <c r="F249" i="5"/>
  <c r="C251" i="5" l="1"/>
  <c r="D251" i="5"/>
  <c r="E252" i="5" s="1"/>
  <c r="E251" i="5"/>
  <c r="F251" i="5" l="1"/>
  <c r="C252" i="5"/>
  <c r="D252" i="5" l="1"/>
  <c r="F252" i="5" s="1"/>
  <c r="C253" i="5"/>
  <c r="D253" i="5" l="1"/>
  <c r="C254" i="5" s="1"/>
  <c r="E253" i="5"/>
  <c r="D254" i="5" l="1"/>
  <c r="E255" i="5"/>
  <c r="C255" i="5"/>
  <c r="F253" i="5"/>
  <c r="E254" i="5"/>
  <c r="D255" i="5" l="1"/>
  <c r="F255" i="5" s="1"/>
  <c r="F254" i="5"/>
  <c r="E256" i="5" l="1"/>
  <c r="C256" i="5"/>
  <c r="D256" i="5" l="1"/>
  <c r="F256" i="5" s="1"/>
  <c r="C257" i="5" l="1"/>
  <c r="D257" i="5" s="1"/>
  <c r="E258" i="5" s="1"/>
  <c r="E257" i="5"/>
  <c r="C258" i="5" l="1"/>
  <c r="D258" i="5" s="1"/>
  <c r="F258" i="5" s="1"/>
  <c r="F257" i="5"/>
  <c r="E259" i="5" l="1"/>
  <c r="C259" i="5"/>
  <c r="D259" i="5" l="1"/>
  <c r="F259" i="5" s="1"/>
  <c r="E260" i="5" l="1"/>
  <c r="C260" i="5"/>
  <c r="D260" i="5" l="1"/>
  <c r="F260" i="5" s="1"/>
  <c r="C261" i="5"/>
  <c r="D261" i="5" l="1"/>
  <c r="E262" i="5"/>
  <c r="E261" i="5"/>
  <c r="F261" i="5" l="1"/>
  <c r="C262" i="5"/>
  <c r="D262" i="5" l="1"/>
  <c r="F262" i="5" s="1"/>
  <c r="C263" i="5" l="1"/>
  <c r="E263" i="5"/>
  <c r="D263" i="5" l="1"/>
  <c r="F263" i="5" s="1"/>
  <c r="E264" i="5" l="1"/>
  <c r="C264" i="5"/>
  <c r="D264" i="5" l="1"/>
  <c r="F264" i="5" s="1"/>
  <c r="C265" i="5" l="1"/>
  <c r="E265" i="5"/>
  <c r="D265" i="5" l="1"/>
  <c r="F265" i="5" s="1"/>
  <c r="C266" i="5" l="1"/>
  <c r="E266" i="5"/>
  <c r="D266" i="5" l="1"/>
  <c r="F266" i="5" s="1"/>
  <c r="C267" i="5" l="1"/>
  <c r="E267" i="5"/>
  <c r="D267" i="5" l="1"/>
  <c r="F267" i="5" s="1"/>
  <c r="E268" i="5" l="1"/>
  <c r="C268" i="5"/>
  <c r="D268" i="5" l="1"/>
  <c r="F268" i="5" s="1"/>
  <c r="C269" i="5"/>
  <c r="D269" i="5" l="1"/>
  <c r="E269" i="5"/>
  <c r="F269" i="5" l="1"/>
  <c r="C270" i="5"/>
  <c r="E270" i="5"/>
  <c r="D270" i="5" l="1"/>
  <c r="F270" i="5" s="1"/>
  <c r="E271" i="5" l="1"/>
  <c r="C271" i="5"/>
  <c r="D271" i="5" l="1"/>
  <c r="F271" i="5" s="1"/>
  <c r="E272" i="5" l="1"/>
  <c r="C272" i="5"/>
  <c r="D272" i="5" l="1"/>
  <c r="F272" i="5" s="1"/>
  <c r="C273" i="5" l="1"/>
  <c r="D273" i="5" s="1"/>
  <c r="E273" i="5"/>
  <c r="F273" i="5" l="1"/>
  <c r="E274" i="5"/>
  <c r="C274" i="5"/>
  <c r="D274" i="5" l="1"/>
  <c r="F274" i="5" s="1"/>
  <c r="E275" i="5" l="1"/>
  <c r="C275" i="5"/>
  <c r="D275" i="5" s="1"/>
  <c r="F275" i="5" l="1"/>
  <c r="E276" i="5"/>
  <c r="C276" i="5"/>
  <c r="D276" i="5" l="1"/>
  <c r="F276" i="5" s="1"/>
  <c r="C277" i="5" l="1"/>
  <c r="E277" i="5"/>
  <c r="D277" i="5" l="1"/>
  <c r="F277" i="5" s="1"/>
  <c r="C278" i="5" l="1"/>
  <c r="E278" i="5"/>
  <c r="D278" i="5"/>
  <c r="F278" i="5" s="1"/>
  <c r="C279" i="5" l="1"/>
  <c r="D279" i="5" s="1"/>
  <c r="E279" i="5"/>
  <c r="F279" i="5" l="1"/>
  <c r="E280" i="5"/>
  <c r="C280" i="5"/>
  <c r="D280" i="5" l="1"/>
  <c r="F280" i="5" s="1"/>
  <c r="C281" i="5" l="1"/>
  <c r="D281" i="5"/>
  <c r="E282" i="5"/>
  <c r="C282" i="5"/>
  <c r="E281" i="5"/>
  <c r="D282" i="5" l="1"/>
  <c r="F282" i="5" s="1"/>
  <c r="C283" i="5"/>
  <c r="F281" i="5"/>
  <c r="D283" i="5" l="1"/>
  <c r="E284" i="5"/>
  <c r="E283" i="5"/>
  <c r="F283" i="5" l="1"/>
  <c r="C284" i="5"/>
  <c r="D284" i="5" l="1"/>
  <c r="F284" i="5" s="1"/>
  <c r="C285" i="5"/>
  <c r="D285" i="5" l="1"/>
  <c r="C286" i="5" s="1"/>
  <c r="E285" i="5"/>
  <c r="D286" i="5" l="1"/>
  <c r="E287" i="5"/>
  <c r="C287" i="5"/>
  <c r="F285" i="5"/>
  <c r="E286" i="5"/>
  <c r="D287" i="5" l="1"/>
  <c r="F287" i="5" s="1"/>
  <c r="E288" i="5"/>
  <c r="F286" i="5"/>
  <c r="C288" i="5" l="1"/>
  <c r="D288" i="5" l="1"/>
  <c r="F288" i="5" s="1"/>
  <c r="C289" i="5" l="1"/>
  <c r="E289" i="5"/>
  <c r="D289" i="5" l="1"/>
  <c r="F289" i="5" s="1"/>
  <c r="E290" i="5" l="1"/>
  <c r="C290" i="5"/>
  <c r="D290" i="5" l="1"/>
  <c r="F290" i="5" s="1"/>
  <c r="C291" i="5" l="1"/>
  <c r="D291" i="5" s="1"/>
  <c r="E291" i="5"/>
  <c r="F291" i="5" l="1"/>
  <c r="E292" i="5"/>
  <c r="C292" i="5"/>
  <c r="D292" i="5" l="1"/>
  <c r="F292" i="5" s="1"/>
  <c r="C293" i="5" l="1"/>
  <c r="E293" i="5"/>
  <c r="D293" i="5" l="1"/>
  <c r="F293" i="5" s="1"/>
  <c r="E294" i="5"/>
  <c r="C294" i="5" l="1"/>
  <c r="D294" i="5" l="1"/>
  <c r="F294" i="5" s="1"/>
  <c r="C295" i="5" l="1"/>
  <c r="E295" i="5"/>
  <c r="D295" i="5" l="1"/>
  <c r="F295" i="5" s="1"/>
  <c r="E296" i="5" l="1"/>
  <c r="C296" i="5"/>
  <c r="D296" i="5" l="1"/>
  <c r="F296" i="5" s="1"/>
  <c r="C297" i="5" l="1"/>
  <c r="E297" i="5"/>
  <c r="D297" i="5" l="1"/>
  <c r="F297" i="5" s="1"/>
  <c r="C298" i="5" l="1"/>
  <c r="E298" i="5"/>
  <c r="D298" i="5" l="1"/>
  <c r="F298" i="5" s="1"/>
  <c r="C299" i="5" l="1"/>
  <c r="E299" i="5"/>
  <c r="D299" i="5" l="1"/>
  <c r="F299" i="5" s="1"/>
  <c r="E300" i="5" l="1"/>
  <c r="C300" i="5"/>
  <c r="D300" i="5" l="1"/>
  <c r="F300" i="5" s="1"/>
  <c r="C301" i="5" l="1"/>
  <c r="D301" i="5" s="1"/>
  <c r="E301" i="5"/>
  <c r="F301" i="5" l="1"/>
  <c r="C302" i="5"/>
  <c r="E302" i="5"/>
  <c r="D302" i="5" l="1"/>
  <c r="F302" i="5" s="1"/>
  <c r="E303" i="5" l="1"/>
  <c r="C303" i="5"/>
  <c r="D303" i="5" l="1"/>
  <c r="F303" i="5" s="1"/>
  <c r="E304" i="5" l="1"/>
  <c r="C304" i="5"/>
  <c r="D304" i="5" l="1"/>
  <c r="F304" i="5" s="1"/>
  <c r="C305" i="5" l="1"/>
  <c r="D305" i="5" s="1"/>
  <c r="E305" i="5"/>
  <c r="E306" i="5" l="1"/>
  <c r="F305" i="5"/>
  <c r="C306" i="5"/>
  <c r="D306" i="5" l="1"/>
  <c r="F306" i="5" s="1"/>
  <c r="C307" i="5"/>
  <c r="E307" i="5"/>
  <c r="D307" i="5" l="1"/>
  <c r="F307" i="5" s="1"/>
  <c r="E308" i="5" l="1"/>
  <c r="C308" i="5"/>
  <c r="D308" i="5" l="1"/>
  <c r="F308" i="5" s="1"/>
  <c r="C309" i="5" l="1"/>
  <c r="E309" i="5"/>
  <c r="D309" i="5" l="1"/>
  <c r="F309" i="5" s="1"/>
  <c r="E310" i="5"/>
  <c r="C310" i="5"/>
  <c r="D310" i="5" l="1"/>
  <c r="F310" i="5" s="1"/>
  <c r="E311" i="5"/>
  <c r="C311" i="5" l="1"/>
  <c r="D311" i="5" s="1"/>
  <c r="F311" i="5" s="1"/>
</calcChain>
</file>

<file path=xl/sharedStrings.xml><?xml version="1.0" encoding="utf-8"?>
<sst xmlns="http://schemas.openxmlformats.org/spreadsheetml/2006/main" count="190" uniqueCount="82">
  <si>
    <t xml:space="preserve">Mã Căn </t>
  </si>
  <si>
    <t>Dạng Căn</t>
  </si>
  <si>
    <t>Diện Tích</t>
  </si>
  <si>
    <t>Giá Bán Chưa VAT</t>
  </si>
  <si>
    <t>BẢNG BÁO GIÁ DỰ ÁN NOXH K.HOME AVENUE</t>
  </si>
  <si>
    <t>BẢNG BÁO GIÁ DỰ ÁN NOXH K.HOME CITYVIEW</t>
  </si>
  <si>
    <t>Chiết Khấu</t>
  </si>
  <si>
    <t>BẢNG BÁO GIÁ DỰ ÁN NOXH K.HOME MIDTOWN</t>
  </si>
  <si>
    <t>Giá VAT</t>
  </si>
  <si>
    <t>Tổng Giá</t>
  </si>
  <si>
    <t>Giá Bán ( VAT )</t>
  </si>
  <si>
    <t xml:space="preserve">Chiết Khấu </t>
  </si>
  <si>
    <t>BẢNG THANH TOÁN THEO TIẾN ĐỘ</t>
  </si>
  <si>
    <t xml:space="preserve"> Đợt</t>
  </si>
  <si>
    <t>Tỷ Lệ %</t>
  </si>
  <si>
    <t>Thành Tiền</t>
  </si>
  <si>
    <t xml:space="preserve">số ngày </t>
  </si>
  <si>
    <t>Ghi chú</t>
  </si>
  <si>
    <t>Cọc</t>
  </si>
  <si>
    <t>ĐỢT 1</t>
  </si>
  <si>
    <t>ĐỢT 2</t>
  </si>
  <si>
    <t>ĐỢT 3</t>
  </si>
  <si>
    <t>ĐỢT 4</t>
  </si>
  <si>
    <t>ĐỢT 5</t>
  </si>
  <si>
    <t>ĐỢT 6</t>
  </si>
  <si>
    <t>ĐỢT 7</t>
  </si>
  <si>
    <t>ĐỢT 8</t>
  </si>
  <si>
    <t>BẢNG THANH TOÁN NOXH THEO TIẾN ĐỘ</t>
  </si>
  <si>
    <t>ĐỢT 9</t>
  </si>
  <si>
    <t>ĐỢT 10</t>
  </si>
  <si>
    <t>ĐỢT 11</t>
  </si>
  <si>
    <t>ĐỢT 12</t>
  </si>
  <si>
    <t>ĐỢT 13</t>
  </si>
  <si>
    <t>ĐỢT 14</t>
  </si>
  <si>
    <t>ĐỢT 15</t>
  </si>
  <si>
    <t>ĐỢT 16</t>
  </si>
  <si>
    <t>ĐỢT 18</t>
  </si>
  <si>
    <t>KH thanh toán 2% Phí Bảo Trì</t>
  </si>
  <si>
    <t>ĐỢT 19</t>
  </si>
  <si>
    <t>BẢNG THANH TOÁN NOXH THEO VAY NGÂN HÀNG</t>
  </si>
  <si>
    <t>Đinh Văn Thọ
0938 373 495</t>
  </si>
  <si>
    <t>Đợt</t>
  </si>
  <si>
    <t>KHÁCH HÀNG</t>
  </si>
  <si>
    <t>NGÂN HÀNG</t>
  </si>
  <si>
    <t>Kỳ hạn thanh toán</t>
  </si>
  <si>
    <t>Đặt Cọc</t>
  </si>
  <si>
    <t>ĐỢT 17</t>
  </si>
  <si>
    <t>7 ngày kể từ ngày ký đặt cọc</t>
  </si>
  <si>
    <t>30 ngày kể từ ngày TT đợt 1</t>
  </si>
  <si>
    <t>15 ngày kể từ ngày TB kí HDMB</t>
  </si>
  <si>
    <t>Ngân Hàng Giải Ngân Lần 1</t>
  </si>
  <si>
    <t>Ngân Hàng Giải Ngân Lần 2 
KH thanh toán 2% Phí Bảo Trì</t>
  </si>
  <si>
    <t>15 ngày kể từ ngày nhận thông 
báo nhận GCNQSHCH</t>
  </si>
  <si>
    <t>Tổng Cộng</t>
  </si>
  <si>
    <t>Ngân Hàng Chính Sách
- Lãi suất : Bằng lãi suất cho vay hộ nghèo
Hiện nay 5.4%/năm 
- Thời gian vay tối đa 300 Tháng ( 25 Năm)</t>
  </si>
  <si>
    <t>BẢNG THANH TOÁN THEO VAY NGÂN HÀNG</t>
  </si>
  <si>
    <t>Ngân Hàng Giải Ngân Lần 2 
Khách hàng thanh toán 2% phí bảo trì</t>
  </si>
  <si>
    <t>THÔNG TIN KHOẢN VAY</t>
  </si>
  <si>
    <t>Tổng giá (có VAT)</t>
  </si>
  <si>
    <t>Tổng số tiền vay</t>
  </si>
  <si>
    <t>Giải ngân đợt 1 (45%)</t>
  </si>
  <si>
    <t>Thời Gian
Dự Kiến</t>
  </si>
  <si>
    <t>Giải ngân đợt 2 (25%)</t>
  </si>
  <si>
    <t>Giải ngân đợt 3 (5% cuối)</t>
  </si>
  <si>
    <t>Thời gian vay (Tháng)</t>
  </si>
  <si>
    <t>Lãi suất (%/năm)</t>
  </si>
  <si>
    <t>CHI TIẾT LỊCH THANH TOÁN</t>
  </si>
  <si>
    <t>Kỳ</t>
  </si>
  <si>
    <t>Ngày</t>
  </si>
  <si>
    <t>Dư nợ đầu kỳ</t>
  </si>
  <si>
    <t>Gốc</t>
  </si>
  <si>
    <t>Lãi</t>
  </si>
  <si>
    <t>Tổng thanh toán</t>
  </si>
  <si>
    <t>Ngân Hàng Chính Sách
- Lãi suất : Bằng lãi suất cho vay hộ nghèo
Hiện nay 5.4%/năm
- Thời gian vay tối đa 300 Tháng ( 25 Năm)</t>
  </si>
  <si>
    <t>Hồ Mộng Sương
SDT : 0933.503052</t>
  </si>
  <si>
    <t>Hồ Mộng Sương
0933.503.052</t>
  </si>
  <si>
    <t>T1.18-02</t>
  </si>
  <si>
    <t>2 Phòng Ngủ nhỏ</t>
  </si>
  <si>
    <t>100% phí bảo trì</t>
  </si>
  <si>
    <t xml:space="preserve"> 100% phí bảo trì </t>
  </si>
  <si>
    <t>Nhận sổ</t>
  </si>
  <si>
    <t>Ngân Hàng Giải Ngân Lần 2 
KH thanh toán 100% phí bảo trì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</si>
</sst>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0\ &quot;m2&quot;"/>
    <numFmt numFmtId="165" formatCode="_-* #,##0\ _₫_-;\-* #,##0\ _₫_-;_-* &quot;-&quot;??\ _₫_-;_-@"/>
    <numFmt numFmtId="166" formatCode="_ * #,##0_ ;_ * \-#,##0_ ;_ * &quot;-&quot;??_ ;_ @_ "/>
    <numFmt numFmtId="167" formatCode="_(* #,##0.0_);_(* \(#,##0.0\);_(* &quot;-&quot;??_);_(@_)"/>
    <numFmt numFmtId="168" formatCode="0\ &quot;Ngày&quot;"/>
    <numFmt numFmtId="169" formatCode="_(* #,##0_);_(* \(#,##0\);_(* &quot;-&quot;??_);_(@_)"/>
    <numFmt numFmtId="170" formatCode="yyyy\-mm\-dd"/>
    <numFmt numFmtId="171" formatCode="_-* #,##0_-;\-* #,##0_-;_-* &quot;-&quot;_-;_-@"/>
  </numFmts>
  <fonts count="17" x14ac:knownFonts="1">
    <font>
      <sz val="11"/>
      <color theme="1"/>
      <name val="Calibri"/>
      <scheme val="minor"/>
    </font>
    <font>
      <b/>
      <sz val="12"/>
      <color rgb="FF0C0C0C"/>
      <name val="Times New Roman"/>
    </font>
    <font>
      <sz val="12"/>
      <color theme="1"/>
      <name val="Times New Roman"/>
    </font>
    <font>
      <sz val="11"/>
      <name val="Calibri"/>
    </font>
    <font>
      <sz val="14"/>
      <color theme="1"/>
      <name val="Times New Roman"/>
    </font>
    <font>
      <sz val="12"/>
      <color theme="1"/>
      <name val="Calibri"/>
    </font>
    <font>
      <b/>
      <sz val="12"/>
      <color theme="1"/>
      <name val="Times New Roman"/>
    </font>
    <font>
      <sz val="12"/>
      <color rgb="FF0C0C0C"/>
      <name val="Times New Roman"/>
    </font>
    <font>
      <sz val="14"/>
      <color rgb="FFFF0000"/>
      <name val="Times New Roman"/>
    </font>
    <font>
      <sz val="12"/>
      <color rgb="FFFF0000"/>
      <name val="Times New Roman"/>
    </font>
    <font>
      <b/>
      <sz val="14"/>
      <color theme="1"/>
      <name val="Times New Roman"/>
    </font>
    <font>
      <sz val="12"/>
      <color theme="7"/>
      <name val="Times New Roman"/>
    </font>
    <font>
      <b/>
      <sz val="12"/>
      <color theme="1"/>
      <name val="Arial"/>
    </font>
    <font>
      <b/>
      <sz val="12"/>
      <color rgb="FFFFFFFF"/>
      <name val="Times New Roman"/>
    </font>
    <font>
      <sz val="12"/>
      <color rgb="FFC55A11"/>
      <name val="Times New Roman"/>
    </font>
    <font>
      <b/>
      <sz val="12"/>
      <color rgb="FF3C4858"/>
      <name val="Times New Roman"/>
    </font>
    <font>
      <sz val="12"/>
      <color rgb="FFFF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00B050"/>
        <bgColor rgb="FF00B050"/>
      </patternFill>
    </fill>
    <fill>
      <patternFill patternType="solid">
        <fgColor rgb="FF548135"/>
        <bgColor rgb="FF548135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9CC2E5"/>
        <bgColor rgb="FF9CC2E5"/>
      </patternFill>
    </fill>
    <fill>
      <patternFill patternType="solid">
        <fgColor theme="9"/>
        <bgColor theme="9"/>
      </patternFill>
    </fill>
    <fill>
      <patternFill patternType="solid">
        <fgColor theme="8" tint="0.39997558519241921"/>
        <bgColor rgb="FFF4B083"/>
      </patternFill>
    </fill>
    <fill>
      <patternFill patternType="solid">
        <fgColor theme="8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1" fillId="2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1" fillId="2" borderId="1" xfId="0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center" vertical="center"/>
    </xf>
    <xf numFmtId="0" fontId="6" fillId="2" borderId="8" xfId="0" applyFont="1" applyFill="1" applyBorder="1"/>
    <xf numFmtId="165" fontId="6" fillId="2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165" fontId="6" fillId="6" borderId="1" xfId="0" applyNumberFormat="1" applyFont="1" applyFill="1" applyBorder="1"/>
    <xf numFmtId="0" fontId="8" fillId="0" borderId="0" xfId="0" applyFont="1"/>
    <xf numFmtId="165" fontId="8" fillId="0" borderId="0" xfId="0" applyNumberFormat="1" applyFont="1"/>
    <xf numFmtId="164" fontId="7" fillId="2" borderId="1" xfId="0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6" fontId="6" fillId="8" borderId="1" xfId="0" applyNumberFormat="1" applyFont="1" applyFill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wrapText="1"/>
    </xf>
    <xf numFmtId="0" fontId="2" fillId="0" borderId="1" xfId="0" applyFont="1" applyBorder="1"/>
    <xf numFmtId="3" fontId="9" fillId="9" borderId="1" xfId="0" applyNumberFormat="1" applyFont="1" applyFill="1" applyBorder="1" applyAlignment="1">
      <alignment horizontal="center" wrapText="1"/>
    </xf>
    <xf numFmtId="0" fontId="9" fillId="8" borderId="1" xfId="0" applyFont="1" applyFill="1" applyBorder="1" applyAlignment="1">
      <alignment horizontal="center" vertical="center"/>
    </xf>
    <xf numFmtId="9" fontId="9" fillId="8" borderId="1" xfId="0" applyNumberFormat="1" applyFont="1" applyFill="1" applyBorder="1" applyAlignment="1">
      <alignment horizontal="center" vertical="center"/>
    </xf>
    <xf numFmtId="168" fontId="2" fillId="8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wrapText="1"/>
    </xf>
    <xf numFmtId="168" fontId="2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9" fontId="2" fillId="8" borderId="1" xfId="0" applyNumberFormat="1" applyFont="1" applyFill="1" applyBorder="1" applyAlignment="1">
      <alignment horizontal="center" vertical="center"/>
    </xf>
    <xf numFmtId="3" fontId="2" fillId="9" borderId="1" xfId="0" applyNumberFormat="1" applyFont="1" applyFill="1" applyBorder="1" applyAlignment="1">
      <alignment horizontal="center" wrapText="1"/>
    </xf>
    <xf numFmtId="9" fontId="9" fillId="9" borderId="1" xfId="0" applyNumberFormat="1" applyFont="1" applyFill="1" applyBorder="1" applyAlignment="1">
      <alignment horizontal="center" wrapText="1"/>
    </xf>
    <xf numFmtId="0" fontId="6" fillId="8" borderId="1" xfId="0" applyFont="1" applyFill="1" applyBorder="1" applyAlignment="1">
      <alignment vertical="center"/>
    </xf>
    <xf numFmtId="9" fontId="6" fillId="0" borderId="1" xfId="0" applyNumberFormat="1" applyFont="1" applyBorder="1" applyAlignment="1">
      <alignment horizontal="center" wrapText="1"/>
    </xf>
    <xf numFmtId="169" fontId="2" fillId="8" borderId="1" xfId="0" applyNumberFormat="1" applyFont="1" applyFill="1" applyBorder="1" applyAlignment="1">
      <alignment horizontal="center" vertical="center"/>
    </xf>
    <xf numFmtId="167" fontId="2" fillId="8" borderId="1" xfId="0" applyNumberFormat="1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10" fillId="8" borderId="8" xfId="0" applyFont="1" applyFill="1" applyBorder="1" applyAlignment="1">
      <alignment vertical="center"/>
    </xf>
    <xf numFmtId="9" fontId="4" fillId="8" borderId="8" xfId="0" applyNumberFormat="1" applyFont="1" applyFill="1" applyBorder="1" applyAlignment="1">
      <alignment horizontal="center" vertical="center"/>
    </xf>
    <xf numFmtId="169" fontId="4" fillId="8" borderId="8" xfId="0" applyNumberFormat="1" applyFont="1" applyFill="1" applyBorder="1" applyAlignment="1">
      <alignment horizontal="center" vertical="center"/>
    </xf>
    <xf numFmtId="167" fontId="4" fillId="8" borderId="8" xfId="0" applyNumberFormat="1" applyFont="1" applyFill="1" applyBorder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wrapText="1"/>
    </xf>
    <xf numFmtId="9" fontId="2" fillId="9" borderId="1" xfId="0" applyNumberFormat="1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165" fontId="2" fillId="1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9" fontId="2" fillId="10" borderId="1" xfId="0" applyNumberFormat="1" applyFont="1" applyFill="1" applyBorder="1" applyAlignment="1">
      <alignment vertical="center"/>
    </xf>
    <xf numFmtId="3" fontId="2" fillId="1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9" fontId="2" fillId="11" borderId="1" xfId="0" applyNumberFormat="1" applyFont="1" applyFill="1" applyBorder="1" applyAlignment="1">
      <alignment vertical="center"/>
    </xf>
    <xf numFmtId="0" fontId="2" fillId="11" borderId="1" xfId="0" applyFont="1" applyFill="1" applyBorder="1"/>
    <xf numFmtId="3" fontId="2" fillId="11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/>
    </xf>
    <xf numFmtId="9" fontId="2" fillId="12" borderId="1" xfId="0" applyNumberFormat="1" applyFont="1" applyFill="1" applyBorder="1" applyAlignment="1">
      <alignment vertical="center"/>
    </xf>
    <xf numFmtId="9" fontId="9" fillId="12" borderId="1" xfId="0" applyNumberFormat="1" applyFont="1" applyFill="1" applyBorder="1" applyAlignment="1">
      <alignment vertical="center"/>
    </xf>
    <xf numFmtId="0" fontId="6" fillId="8" borderId="8" xfId="0" applyFont="1" applyFill="1" applyBorder="1" applyAlignment="1">
      <alignment vertical="center"/>
    </xf>
    <xf numFmtId="9" fontId="2" fillId="8" borderId="8" xfId="0" applyNumberFormat="1" applyFont="1" applyFill="1" applyBorder="1" applyAlignment="1">
      <alignment horizontal="center" vertical="center"/>
    </xf>
    <xf numFmtId="3" fontId="9" fillId="12" borderId="1" xfId="0" applyNumberFormat="1" applyFont="1" applyFill="1" applyBorder="1" applyAlignment="1">
      <alignment horizontal="center" vertical="center"/>
    </xf>
    <xf numFmtId="169" fontId="2" fillId="8" borderId="8" xfId="0" applyNumberFormat="1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67" fontId="2" fillId="8" borderId="8" xfId="0" applyNumberFormat="1" applyFont="1" applyFill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9" fontId="11" fillId="0" borderId="1" xfId="0" applyNumberFormat="1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9" fontId="9" fillId="0" borderId="1" xfId="0" applyNumberFormat="1" applyFont="1" applyBorder="1" applyAlignment="1">
      <alignment vertical="center"/>
    </xf>
    <xf numFmtId="164" fontId="6" fillId="2" borderId="1" xfId="0" applyNumberFormat="1" applyFont="1" applyFill="1" applyBorder="1" applyAlignment="1">
      <alignment horizontal="center" vertical="center"/>
    </xf>
    <xf numFmtId="3" fontId="11" fillId="0" borderId="1" xfId="0" applyNumberFormat="1" applyFont="1" applyBorder="1" applyAlignment="1">
      <alignment vertical="center"/>
    </xf>
    <xf numFmtId="3" fontId="2" fillId="2" borderId="23" xfId="0" applyNumberFormat="1" applyFont="1" applyFill="1" applyBorder="1" applyAlignment="1">
      <alignment horizontal="center" vertical="center"/>
    </xf>
    <xf numFmtId="3" fontId="9" fillId="0" borderId="1" xfId="0" applyNumberFormat="1" applyFont="1" applyBorder="1" applyAlignment="1">
      <alignment vertical="center"/>
    </xf>
    <xf numFmtId="9" fontId="12" fillId="0" borderId="1" xfId="0" applyNumberFormat="1" applyFont="1" applyBorder="1" applyAlignment="1">
      <alignment horizontal="center" wrapText="1"/>
    </xf>
    <xf numFmtId="164" fontId="6" fillId="0" borderId="1" xfId="0" applyNumberFormat="1" applyFont="1" applyBorder="1" applyAlignment="1">
      <alignment horizontal="center" vertical="center"/>
    </xf>
    <xf numFmtId="0" fontId="2" fillId="10" borderId="1" xfId="0" applyFont="1" applyFill="1" applyBorder="1"/>
    <xf numFmtId="3" fontId="6" fillId="0" borderId="2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2" fillId="6" borderId="8" xfId="0" applyFont="1" applyFill="1" applyBorder="1"/>
    <xf numFmtId="0" fontId="2" fillId="0" borderId="0" xfId="0" applyFont="1" applyAlignment="1">
      <alignment vertical="center"/>
    </xf>
    <xf numFmtId="169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/>
    <xf numFmtId="3" fontId="2" fillId="0" borderId="1" xfId="0" applyNumberFormat="1" applyFont="1" applyBorder="1"/>
    <xf numFmtId="9" fontId="2" fillId="0" borderId="1" xfId="0" applyNumberFormat="1" applyFont="1" applyBorder="1"/>
    <xf numFmtId="170" fontId="2" fillId="0" borderId="7" xfId="0" applyNumberFormat="1" applyFont="1" applyBorder="1"/>
    <xf numFmtId="171" fontId="2" fillId="0" borderId="1" xfId="0" applyNumberFormat="1" applyFont="1" applyBorder="1"/>
    <xf numFmtId="10" fontId="2" fillId="0" borderId="1" xfId="0" applyNumberFormat="1" applyFont="1" applyBorder="1"/>
    <xf numFmtId="9" fontId="14" fillId="0" borderId="1" xfId="0" applyNumberFormat="1" applyFont="1" applyBorder="1" applyAlignment="1">
      <alignment vertical="center"/>
    </xf>
    <xf numFmtId="0" fontId="15" fillId="4" borderId="8" xfId="0" applyFont="1" applyFill="1" applyBorder="1" applyAlignment="1">
      <alignment horizontal="center" vertical="center"/>
    </xf>
    <xf numFmtId="3" fontId="14" fillId="0" borderId="1" xfId="0" applyNumberFormat="1" applyFont="1" applyBorder="1" applyAlignment="1">
      <alignment vertical="center"/>
    </xf>
    <xf numFmtId="170" fontId="2" fillId="0" borderId="0" xfId="0" applyNumberFormat="1" applyFont="1"/>
    <xf numFmtId="3" fontId="2" fillId="0" borderId="0" xfId="0" applyNumberFormat="1" applyFont="1"/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6" fillId="2" borderId="5" xfId="0" applyFont="1" applyFill="1" applyBorder="1" applyAlignment="1">
      <alignment horizontal="center" wrapText="1"/>
    </xf>
    <xf numFmtId="0" fontId="3" fillId="0" borderId="6" xfId="0" applyFont="1" applyBorder="1"/>
    <xf numFmtId="0" fontId="3" fillId="0" borderId="7" xfId="0" applyFont="1" applyBorder="1"/>
    <xf numFmtId="0" fontId="1" fillId="2" borderId="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6" xfId="0" applyFont="1" applyBorder="1"/>
    <xf numFmtId="0" fontId="3" fillId="0" borderId="17" xfId="0" applyFont="1" applyBorder="1"/>
    <xf numFmtId="0" fontId="1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3" fontId="1" fillId="0" borderId="22" xfId="0" applyNumberFormat="1" applyFont="1" applyBorder="1" applyAlignment="1">
      <alignment horizontal="center" vertical="center"/>
    </xf>
    <xf numFmtId="0" fontId="3" fillId="0" borderId="2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 wrapText="1"/>
    </xf>
    <xf numFmtId="0" fontId="3" fillId="0" borderId="20" xfId="0" applyFont="1" applyBorder="1"/>
    <xf numFmtId="0" fontId="6" fillId="0" borderId="1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2" fillId="0" borderId="5" xfId="0" applyFont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3" fillId="0" borderId="19" xfId="0" applyFont="1" applyBorder="1"/>
    <xf numFmtId="0" fontId="6" fillId="13" borderId="5" xfId="0" applyFont="1" applyFill="1" applyBorder="1" applyAlignment="1">
      <alignment horizontal="center" wrapText="1"/>
    </xf>
    <xf numFmtId="0" fontId="6" fillId="0" borderId="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wrapText="1"/>
    </xf>
    <xf numFmtId="0" fontId="10" fillId="2" borderId="5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wrapText="1"/>
    </xf>
    <xf numFmtId="0" fontId="13" fillId="6" borderId="5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3" fillId="0" borderId="24" xfId="0" applyFont="1" applyBorder="1"/>
    <xf numFmtId="0" fontId="13" fillId="6" borderId="2" xfId="0" applyFont="1" applyFill="1" applyBorder="1" applyAlignment="1">
      <alignment horizontal="center" vertical="center"/>
    </xf>
    <xf numFmtId="0" fontId="0" fillId="15" borderId="0" xfId="0" applyFill="1"/>
    <xf numFmtId="9" fontId="16" fillId="14" borderId="1" xfId="0" applyNumberFormat="1" applyFont="1" applyFill="1" applyBorder="1" applyAlignment="1">
      <alignment vertical="center"/>
    </xf>
    <xf numFmtId="9" fontId="2" fillId="12" borderId="22" xfId="0" applyNumberFormat="1" applyFont="1" applyFill="1" applyBorder="1" applyAlignment="1">
      <alignment vertical="center"/>
    </xf>
    <xf numFmtId="9" fontId="9" fillId="12" borderId="22" xfId="0" applyNumberFormat="1" applyFont="1" applyFill="1" applyBorder="1" applyAlignment="1">
      <alignment vertical="center"/>
    </xf>
    <xf numFmtId="3" fontId="9" fillId="12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9" fontId="2" fillId="12" borderId="25" xfId="0" applyNumberFormat="1" applyFont="1" applyFill="1" applyBorder="1" applyAlignment="1">
      <alignment vertical="center"/>
    </xf>
    <xf numFmtId="9" fontId="9" fillId="12" borderId="25" xfId="0" applyNumberFormat="1" applyFont="1" applyFill="1" applyBorder="1" applyAlignment="1">
      <alignment vertical="center"/>
    </xf>
    <xf numFmtId="3" fontId="9" fillId="12" borderId="25" xfId="0" applyNumberFormat="1" applyFont="1" applyFill="1" applyBorder="1" applyAlignment="1">
      <alignment horizontal="center" vertical="center"/>
    </xf>
    <xf numFmtId="3" fontId="16" fillId="14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0" borderId="22" xfId="0" applyFont="1" applyBorder="1" applyAlignment="1">
      <alignment vertical="center" wrapText="1"/>
    </xf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CEDF4"/>
          <bgColor rgb="FFECEDF4"/>
        </patternFill>
      </fill>
    </dxf>
  </dxfs>
  <tableStyles count="1">
    <tableStyle name="Lãi Vay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495300</xdr:colOff>
      <xdr:row>0</xdr:row>
      <xdr:rowOff>66675</xdr:rowOff>
    </xdr:from>
    <xdr:ext cx="1619250" cy="6096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0</xdr:rowOff>
    </xdr:from>
    <xdr:ext cx="1409700" cy="7905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838200</xdr:colOff>
      <xdr:row>0</xdr:row>
      <xdr:rowOff>152400</xdr:rowOff>
    </xdr:from>
    <xdr:ext cx="1285875" cy="400050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409575</xdr:colOff>
      <xdr:row>0</xdr:row>
      <xdr:rowOff>85725</xdr:rowOff>
    </xdr:from>
    <xdr:ext cx="1447800" cy="7905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0</xdr:rowOff>
    </xdr:from>
    <xdr:ext cx="1390650" cy="89535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600075</xdr:colOff>
      <xdr:row>0</xdr:row>
      <xdr:rowOff>295275</xdr:rowOff>
    </xdr:from>
    <xdr:ext cx="1409700" cy="4381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552450</xdr:colOff>
      <xdr:row>0</xdr:row>
      <xdr:rowOff>85725</xdr:rowOff>
    </xdr:from>
    <xdr:ext cx="1619250" cy="6096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0</xdr:rowOff>
    </xdr:from>
    <xdr:ext cx="1409700" cy="7905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857250</xdr:colOff>
      <xdr:row>0</xdr:row>
      <xdr:rowOff>152400</xdr:rowOff>
    </xdr:from>
    <xdr:ext cx="1123950" cy="51435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2:F311" headerRowCount="0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</tableColumns>
  <tableStyleInfo name="Lãi Va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workbookViewId="0">
      <selection activeCell="B5" sqref="B5"/>
    </sheetView>
  </sheetViews>
  <sheetFormatPr defaultColWidth="14.44140625" defaultRowHeight="15" customHeight="1" x14ac:dyDescent="0.3"/>
  <cols>
    <col min="1" max="1" width="29.44140625" customWidth="1"/>
    <col min="2" max="2" width="22.109375" customWidth="1"/>
    <col min="3" max="26" width="8.77734375" customWidth="1"/>
  </cols>
  <sheetData>
    <row r="1" spans="1:26" ht="15.6" x14ac:dyDescent="0.3">
      <c r="A1" s="1" t="s">
        <v>0</v>
      </c>
      <c r="B1" s="2" t="s">
        <v>76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6" x14ac:dyDescent="0.3">
      <c r="A2" s="1" t="s">
        <v>1</v>
      </c>
      <c r="B2" s="2" t="s">
        <v>77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6" x14ac:dyDescent="0.3">
      <c r="A3" s="1" t="s">
        <v>2</v>
      </c>
      <c r="B3" s="4">
        <v>61.6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6" x14ac:dyDescent="0.3">
      <c r="A4" s="6" t="s">
        <v>3</v>
      </c>
      <c r="B4" s="7">
        <v>1313439000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6" x14ac:dyDescent="0.3">
      <c r="A5" s="8" t="s">
        <v>6</v>
      </c>
      <c r="B5" s="9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6" x14ac:dyDescent="0.3">
      <c r="A6" s="10" t="s">
        <v>8</v>
      </c>
      <c r="B6" s="12">
        <f>B4+B4*5%</f>
        <v>1379110950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35">
      <c r="A7" s="13" t="s">
        <v>9</v>
      </c>
      <c r="B7" s="14">
        <f>B6-B5</f>
        <v>1379110950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6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6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6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6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6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9"/>
  <sheetViews>
    <sheetView zoomScale="107" zoomScaleNormal="107" workbookViewId="0">
      <selection activeCell="D3" sqref="D3:E9"/>
    </sheetView>
  </sheetViews>
  <sheetFormatPr defaultColWidth="14.44140625" defaultRowHeight="15" customHeight="1" x14ac:dyDescent="0.3"/>
  <cols>
    <col min="1" max="1" width="11" customWidth="1"/>
    <col min="2" max="2" width="16.109375" customWidth="1"/>
    <col min="3" max="3" width="20.77734375" customWidth="1"/>
    <col min="4" max="4" width="21.88671875" customWidth="1"/>
    <col min="5" max="5" width="34.5546875" customWidth="1"/>
    <col min="6" max="6" width="9.109375" customWidth="1"/>
    <col min="7" max="26" width="8.77734375" customWidth="1"/>
  </cols>
  <sheetData>
    <row r="1" spans="1:26" ht="61.5" customHeight="1" x14ac:dyDescent="0.3">
      <c r="A1" s="108"/>
      <c r="B1" s="109"/>
      <c r="C1" s="109"/>
      <c r="D1" s="109"/>
      <c r="E1" s="110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6.25" customHeight="1" x14ac:dyDescent="0.3">
      <c r="A2" s="111" t="s">
        <v>5</v>
      </c>
      <c r="B2" s="112"/>
      <c r="C2" s="112"/>
      <c r="D2" s="112"/>
      <c r="E2" s="11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6" x14ac:dyDescent="0.3">
      <c r="A3" s="114" t="s">
        <v>0</v>
      </c>
      <c r="B3" s="113"/>
      <c r="C3" s="11" t="str">
        <f>'ĐIỀN THÔNG TIN '!B1</f>
        <v>T1.18-02</v>
      </c>
      <c r="D3" s="115"/>
      <c r="E3" s="11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6" x14ac:dyDescent="0.3">
      <c r="A4" s="114" t="s">
        <v>1</v>
      </c>
      <c r="B4" s="113"/>
      <c r="C4" s="11" t="str">
        <f>'ĐIỀN THÔNG TIN '!B2</f>
        <v>2 Phòng Ngủ nhỏ</v>
      </c>
      <c r="D4" s="117"/>
      <c r="E4" s="118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6" x14ac:dyDescent="0.3">
      <c r="A5" s="114" t="s">
        <v>2</v>
      </c>
      <c r="B5" s="113"/>
      <c r="C5" s="15">
        <f>'ĐIỀN THÔNG TIN '!B3</f>
        <v>61.6</v>
      </c>
      <c r="D5" s="117"/>
      <c r="E5" s="118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6" x14ac:dyDescent="0.3">
      <c r="A6" s="121" t="s">
        <v>3</v>
      </c>
      <c r="B6" s="113"/>
      <c r="C6" s="16">
        <f>'ĐIỀN THÔNG TIN '!B4</f>
        <v>1313439000</v>
      </c>
      <c r="D6" s="117"/>
      <c r="E6" s="118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6" x14ac:dyDescent="0.3">
      <c r="A7" s="122" t="s">
        <v>10</v>
      </c>
      <c r="B7" s="113"/>
      <c r="C7" s="18">
        <f>C6*5%+C6</f>
        <v>1379110950</v>
      </c>
      <c r="D7" s="117"/>
      <c r="E7" s="118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6" hidden="1" x14ac:dyDescent="0.3">
      <c r="A8" s="122"/>
      <c r="B8" s="113"/>
      <c r="C8" s="18">
        <f>'ĐIỀN THÔNG TIN '!B5</f>
        <v>0</v>
      </c>
      <c r="D8" s="117"/>
      <c r="E8" s="118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6" x14ac:dyDescent="0.3">
      <c r="A9" s="122" t="s">
        <v>9</v>
      </c>
      <c r="B9" s="113"/>
      <c r="C9" s="18">
        <f>C7-C8</f>
        <v>1379110950</v>
      </c>
      <c r="D9" s="119"/>
      <c r="E9" s="120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6" x14ac:dyDescent="0.3">
      <c r="A10" s="122" t="s">
        <v>12</v>
      </c>
      <c r="B10" s="112"/>
      <c r="C10" s="112"/>
      <c r="D10" s="112"/>
      <c r="E10" s="11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6" x14ac:dyDescent="0.3">
      <c r="A11" s="19" t="s">
        <v>13</v>
      </c>
      <c r="B11" s="20" t="s">
        <v>14</v>
      </c>
      <c r="C11" s="20" t="s">
        <v>15</v>
      </c>
      <c r="D11" s="21" t="s">
        <v>16</v>
      </c>
      <c r="E11" s="22" t="s">
        <v>17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6" x14ac:dyDescent="0.3">
      <c r="A12" s="23" t="s">
        <v>18</v>
      </c>
      <c r="B12" s="24"/>
      <c r="C12" s="25">
        <v>30000000</v>
      </c>
      <c r="D12" s="21"/>
      <c r="E12" s="2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6" x14ac:dyDescent="0.3">
      <c r="A13" s="31" t="s">
        <v>19</v>
      </c>
      <c r="B13" s="32">
        <v>0.15</v>
      </c>
      <c r="C13" s="33">
        <f>B13*$C$9-C12</f>
        <v>176866642.5</v>
      </c>
      <c r="D13" s="34">
        <v>7</v>
      </c>
      <c r="E13" s="30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6" x14ac:dyDescent="0.3">
      <c r="A14" s="31" t="s">
        <v>20</v>
      </c>
      <c r="B14" s="32">
        <v>0.1</v>
      </c>
      <c r="C14" s="33">
        <f>B14*$C$9</f>
        <v>137911095</v>
      </c>
      <c r="D14" s="34">
        <v>30</v>
      </c>
      <c r="E14" s="30">
        <f t="shared" ref="E14:E16" si="0">C14*D14*15%/365</f>
        <v>1700273.7739726028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6" x14ac:dyDescent="0.3">
      <c r="A15" s="31" t="s">
        <v>21</v>
      </c>
      <c r="B15" s="32">
        <v>0.05</v>
      </c>
      <c r="C15" s="33">
        <f t="shared" ref="C15:C29" si="1">B15*$C$9</f>
        <v>68955547.5</v>
      </c>
      <c r="D15" s="34">
        <v>60</v>
      </c>
      <c r="E15" s="30">
        <f t="shared" si="0"/>
        <v>1700273.7739726028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6" x14ac:dyDescent="0.3">
      <c r="A16" s="31" t="s">
        <v>22</v>
      </c>
      <c r="B16" s="32">
        <v>0.05</v>
      </c>
      <c r="C16" s="33">
        <f t="shared" si="1"/>
        <v>68955547.5</v>
      </c>
      <c r="D16" s="34">
        <v>90</v>
      </c>
      <c r="E16" s="30">
        <f>C16*D16*15%/365</f>
        <v>2550410.6609589043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6" x14ac:dyDescent="0.3">
      <c r="A17" s="35" t="s">
        <v>23</v>
      </c>
      <c r="B17" s="36">
        <v>0.03</v>
      </c>
      <c r="C17" s="37">
        <f t="shared" si="1"/>
        <v>41373328.5</v>
      </c>
      <c r="D17" s="28"/>
      <c r="E17" s="30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6" x14ac:dyDescent="0.3">
      <c r="A18" s="35" t="s">
        <v>24</v>
      </c>
      <c r="B18" s="36">
        <v>0.03</v>
      </c>
      <c r="C18" s="37">
        <f t="shared" si="1"/>
        <v>41373328.5</v>
      </c>
      <c r="D18" s="28"/>
      <c r="E18" s="30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6" x14ac:dyDescent="0.3">
      <c r="A19" s="35" t="s">
        <v>25</v>
      </c>
      <c r="B19" s="36">
        <v>0.03</v>
      </c>
      <c r="C19" s="37">
        <f t="shared" si="1"/>
        <v>41373328.5</v>
      </c>
      <c r="D19" s="28"/>
      <c r="E19" s="30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6" x14ac:dyDescent="0.3">
      <c r="A20" s="35" t="s">
        <v>26</v>
      </c>
      <c r="B20" s="36">
        <v>0.03</v>
      </c>
      <c r="C20" s="37">
        <f t="shared" si="1"/>
        <v>41373328.5</v>
      </c>
      <c r="D20" s="28"/>
      <c r="E20" s="30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35" t="s">
        <v>28</v>
      </c>
      <c r="B21" s="36">
        <v>0.03</v>
      </c>
      <c r="C21" s="37">
        <f t="shared" si="1"/>
        <v>41373328.5</v>
      </c>
      <c r="D21" s="28"/>
      <c r="E21" s="30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35" t="s">
        <v>29</v>
      </c>
      <c r="B22" s="36">
        <v>0.03</v>
      </c>
      <c r="C22" s="37">
        <f t="shared" si="1"/>
        <v>41373328.5</v>
      </c>
      <c r="D22" s="28"/>
      <c r="E22" s="30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35" t="s">
        <v>30</v>
      </c>
      <c r="B23" s="36">
        <v>0.03</v>
      </c>
      <c r="C23" s="37">
        <f t="shared" si="1"/>
        <v>41373328.5</v>
      </c>
      <c r="D23" s="28"/>
      <c r="E23" s="30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35" t="s">
        <v>31</v>
      </c>
      <c r="B24" s="36">
        <v>0.03</v>
      </c>
      <c r="C24" s="37">
        <f t="shared" si="1"/>
        <v>41373328.5</v>
      </c>
      <c r="D24" s="28"/>
      <c r="E24" s="30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35" t="s">
        <v>32</v>
      </c>
      <c r="B25" s="36">
        <v>0.03</v>
      </c>
      <c r="C25" s="37">
        <f t="shared" si="1"/>
        <v>41373328.5</v>
      </c>
      <c r="D25" s="28"/>
      <c r="E25" s="2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35" t="s">
        <v>33</v>
      </c>
      <c r="B26" s="36">
        <v>0.03</v>
      </c>
      <c r="C26" s="37">
        <f t="shared" si="1"/>
        <v>41373328.5</v>
      </c>
      <c r="D26" s="28"/>
      <c r="E26" s="30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35" t="s">
        <v>34</v>
      </c>
      <c r="B27" s="36">
        <v>0.05</v>
      </c>
      <c r="C27" s="37">
        <f t="shared" si="1"/>
        <v>68955547.5</v>
      </c>
      <c r="D27" s="28"/>
      <c r="E27" s="30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35" t="s">
        <v>35</v>
      </c>
      <c r="B28" s="36">
        <v>0.25</v>
      </c>
      <c r="C28" s="37">
        <f t="shared" si="1"/>
        <v>344777737.5</v>
      </c>
      <c r="D28" s="28"/>
      <c r="E28" s="30" t="s">
        <v>79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35" t="s">
        <v>46</v>
      </c>
      <c r="B29" s="36">
        <v>0.05</v>
      </c>
      <c r="C29" s="37">
        <f t="shared" si="1"/>
        <v>68955547.5</v>
      </c>
      <c r="D29" s="28"/>
      <c r="E29" s="30" t="s">
        <v>80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39" t="s">
        <v>9</v>
      </c>
      <c r="B30" s="40">
        <f>SUM(B13:B29)</f>
        <v>1.0000000000000002</v>
      </c>
      <c r="C30" s="41">
        <f>SUM(C12:C29)</f>
        <v>1379110950</v>
      </c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69"/>
      <c r="B31" s="70"/>
      <c r="C31" s="72"/>
      <c r="D31" s="74"/>
      <c r="E31" s="7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7" customHeight="1" x14ac:dyDescent="0.3">
      <c r="A32" s="111" t="s">
        <v>39</v>
      </c>
      <c r="B32" s="112"/>
      <c r="C32" s="112"/>
      <c r="D32" s="112"/>
      <c r="E32" s="11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126" t="s">
        <v>0</v>
      </c>
      <c r="B33" s="113"/>
      <c r="C33" s="80" t="str">
        <f>C3</f>
        <v>T1.18-02</v>
      </c>
      <c r="D33" s="80" t="str">
        <f>C4</f>
        <v>2 Phòng Ngủ nhỏ</v>
      </c>
      <c r="E33" s="82">
        <f>C5</f>
        <v>61.6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127" t="s">
        <v>3</v>
      </c>
      <c r="B34" s="128"/>
      <c r="C34" s="84">
        <f t="shared" ref="C34:C36" si="2">C6</f>
        <v>1313439000</v>
      </c>
      <c r="D34" s="129"/>
      <c r="E34" s="118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122" t="s">
        <v>10</v>
      </c>
      <c r="B35" s="113"/>
      <c r="C35" s="29">
        <f t="shared" si="2"/>
        <v>1379110950</v>
      </c>
      <c r="D35" s="117"/>
      <c r="E35" s="118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122"/>
      <c r="B36" s="113"/>
      <c r="C36" s="29">
        <f t="shared" si="2"/>
        <v>0</v>
      </c>
      <c r="D36" s="117"/>
      <c r="E36" s="118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122" t="s">
        <v>9</v>
      </c>
      <c r="B37" s="113"/>
      <c r="C37" s="29">
        <f>C35-C36</f>
        <v>1379110950</v>
      </c>
      <c r="D37" s="119"/>
      <c r="E37" s="120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" customHeight="1" x14ac:dyDescent="0.3">
      <c r="A38" s="122"/>
      <c r="B38" s="112"/>
      <c r="C38" s="112"/>
      <c r="D38" s="112"/>
      <c r="E38" s="11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55" t="s">
        <v>41</v>
      </c>
      <c r="B39" s="56" t="s">
        <v>42</v>
      </c>
      <c r="C39" s="56" t="s">
        <v>43</v>
      </c>
      <c r="D39" s="55" t="s">
        <v>15</v>
      </c>
      <c r="E39" s="55" t="s">
        <v>44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55" t="s">
        <v>18</v>
      </c>
      <c r="B40" s="57"/>
      <c r="C40" s="57"/>
      <c r="D40" s="58">
        <v>30000000</v>
      </c>
      <c r="E40" s="59" t="s">
        <v>45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49">
        <v>1</v>
      </c>
      <c r="B41" s="60">
        <v>0.15</v>
      </c>
      <c r="C41" s="60"/>
      <c r="D41" s="61">
        <f>(C37*B41)-D40</f>
        <v>176866642.5</v>
      </c>
      <c r="E41" s="62" t="s">
        <v>47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49">
        <v>2</v>
      </c>
      <c r="B42" s="60">
        <v>0.05</v>
      </c>
      <c r="C42" s="60"/>
      <c r="D42" s="61">
        <f>B42*C37</f>
        <v>68955547.5</v>
      </c>
      <c r="E42" s="62" t="s">
        <v>48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49">
        <v>3</v>
      </c>
      <c r="B43" s="60">
        <v>0.05</v>
      </c>
      <c r="C43" s="88"/>
      <c r="D43" s="61">
        <f>B43*C37</f>
        <v>68955547.5</v>
      </c>
      <c r="E43" s="62" t="s">
        <v>49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49">
        <v>4</v>
      </c>
      <c r="B44" s="67"/>
      <c r="C44" s="68">
        <v>0.45</v>
      </c>
      <c r="D44" s="71">
        <f>C44*C37</f>
        <v>620599927.5</v>
      </c>
      <c r="E44" s="90" t="s">
        <v>50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3">
      <c r="A45" s="73">
        <v>5</v>
      </c>
      <c r="B45" s="67"/>
      <c r="C45" s="68">
        <v>0.25</v>
      </c>
      <c r="D45" s="71">
        <f>C37*C45</f>
        <v>344777737.5</v>
      </c>
      <c r="E45" s="92" t="s">
        <v>56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" customHeight="1" x14ac:dyDescent="0.3">
      <c r="A46" s="49">
        <v>6</v>
      </c>
      <c r="B46" s="67"/>
      <c r="C46" s="68">
        <v>0.05</v>
      </c>
      <c r="D46" s="71">
        <f>C46*C37</f>
        <v>68955547.5</v>
      </c>
      <c r="E46" s="92" t="s">
        <v>52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78" t="s">
        <v>53</v>
      </c>
      <c r="B47" s="79">
        <f>SUM(B40:B46)</f>
        <v>0.25</v>
      </c>
      <c r="C47" s="81">
        <f>C44+C45+C46</f>
        <v>0.75</v>
      </c>
      <c r="D47" s="123">
        <f>SUM(D40:D46)</f>
        <v>1379110950</v>
      </c>
      <c r="E47" s="12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62"/>
      <c r="B48" s="83">
        <f>SUM(D40:D43)</f>
        <v>344777737.5</v>
      </c>
      <c r="C48" s="85">
        <f>SUM(D44:D45)+D46</f>
        <v>1034333212.5</v>
      </c>
      <c r="D48" s="124"/>
      <c r="E48" s="12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75" customHeight="1" x14ac:dyDescent="0.3">
      <c r="A49" s="125" t="s">
        <v>54</v>
      </c>
      <c r="B49" s="112"/>
      <c r="C49" s="112"/>
      <c r="D49" s="112"/>
      <c r="E49" s="11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94"/>
      <c r="B50" s="95"/>
      <c r="C50" s="96"/>
      <c r="D50" s="96"/>
      <c r="E50" s="9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6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22">
    <mergeCell ref="D47:D48"/>
    <mergeCell ref="E47:E48"/>
    <mergeCell ref="A49:E49"/>
    <mergeCell ref="A38:E38"/>
    <mergeCell ref="A7:B7"/>
    <mergeCell ref="A8:B8"/>
    <mergeCell ref="A10:E10"/>
    <mergeCell ref="A32:E32"/>
    <mergeCell ref="A33:B33"/>
    <mergeCell ref="A34:B34"/>
    <mergeCell ref="A35:B35"/>
    <mergeCell ref="D34:E37"/>
    <mergeCell ref="A36:B36"/>
    <mergeCell ref="A37:B37"/>
    <mergeCell ref="A1:E1"/>
    <mergeCell ref="A2:E2"/>
    <mergeCell ref="A3:B3"/>
    <mergeCell ref="D3:E9"/>
    <mergeCell ref="A4:B4"/>
    <mergeCell ref="A5:B5"/>
    <mergeCell ref="A6:B6"/>
    <mergeCell ref="A9:B9"/>
  </mergeCells>
  <pageMargins left="0.7" right="0.7" top="0.75" bottom="0.75" header="0" footer="0"/>
  <pageSetup paperSize="9" fitToWidth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8"/>
  <sheetViews>
    <sheetView tabSelected="1" workbookViewId="0">
      <selection activeCell="I24" sqref="I24"/>
    </sheetView>
  </sheetViews>
  <sheetFormatPr defaultColWidth="14.44140625" defaultRowHeight="15" customHeight="1" x14ac:dyDescent="0.3"/>
  <cols>
    <col min="1" max="1" width="11" customWidth="1"/>
    <col min="2" max="2" width="16.109375" customWidth="1"/>
    <col min="3" max="3" width="23" customWidth="1"/>
    <col min="4" max="4" width="27.44140625" customWidth="1"/>
    <col min="5" max="5" width="31.77734375" customWidth="1"/>
    <col min="6" max="26" width="8.77734375" customWidth="1"/>
  </cols>
  <sheetData>
    <row r="1" spans="1:26" ht="73.5" customHeight="1" x14ac:dyDescent="0.3">
      <c r="A1" s="130"/>
      <c r="B1" s="109"/>
      <c r="C1" s="109"/>
      <c r="D1" s="109"/>
      <c r="E1" s="110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7.75" customHeight="1" x14ac:dyDescent="0.3">
      <c r="A2" s="111" t="s">
        <v>7</v>
      </c>
      <c r="B2" s="112"/>
      <c r="C2" s="112"/>
      <c r="D2" s="112"/>
      <c r="E2" s="113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" customHeight="1" x14ac:dyDescent="0.3">
      <c r="A3" s="114" t="s">
        <v>0</v>
      </c>
      <c r="B3" s="113"/>
      <c r="C3" s="11" t="str">
        <f>'ĐIỀN THÔNG TIN '!B1</f>
        <v>T1.18-02</v>
      </c>
      <c r="D3" s="115" t="s">
        <v>74</v>
      </c>
      <c r="E3" s="11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3">
      <c r="A4" s="131" t="s">
        <v>1</v>
      </c>
      <c r="B4" s="132"/>
      <c r="C4" s="17" t="str">
        <f>'ĐIỀN THÔNG TIN '!B2</f>
        <v>2 Phòng Ngủ nhỏ</v>
      </c>
      <c r="D4" s="117"/>
      <c r="E4" s="118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6" x14ac:dyDescent="0.3">
      <c r="A5" s="114" t="s">
        <v>2</v>
      </c>
      <c r="B5" s="113"/>
      <c r="C5" s="15">
        <f>'ĐIỀN THÔNG TIN '!B3</f>
        <v>61.6</v>
      </c>
      <c r="D5" s="117"/>
      <c r="E5" s="118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6" x14ac:dyDescent="0.3">
      <c r="A6" s="121" t="s">
        <v>3</v>
      </c>
      <c r="B6" s="113"/>
      <c r="C6" s="16">
        <f>'ĐIỀN THÔNG TIN '!B4</f>
        <v>1313439000</v>
      </c>
      <c r="D6" s="117"/>
      <c r="E6" s="118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6" x14ac:dyDescent="0.3">
      <c r="A7" s="122" t="s">
        <v>10</v>
      </c>
      <c r="B7" s="113"/>
      <c r="C7" s="29">
        <f>C6*5%+C6</f>
        <v>1379110950</v>
      </c>
      <c r="D7" s="117"/>
      <c r="E7" s="118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6" x14ac:dyDescent="0.3">
      <c r="A8" s="122" t="s">
        <v>6</v>
      </c>
      <c r="B8" s="113"/>
      <c r="C8" s="29">
        <f>'ĐIỀN THÔNG TIN '!B5</f>
        <v>0</v>
      </c>
      <c r="D8" s="117"/>
      <c r="E8" s="11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6" x14ac:dyDescent="0.3">
      <c r="A9" s="122" t="s">
        <v>9</v>
      </c>
      <c r="B9" s="113"/>
      <c r="C9" s="18">
        <f>C7-C8</f>
        <v>1379110950</v>
      </c>
      <c r="D9" s="119"/>
      <c r="E9" s="120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0.5" customHeight="1" x14ac:dyDescent="0.3">
      <c r="A10" s="127" t="s">
        <v>27</v>
      </c>
      <c r="B10" s="135"/>
      <c r="C10" s="135"/>
      <c r="D10" s="135"/>
      <c r="E10" s="128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6" x14ac:dyDescent="0.3">
      <c r="A11" s="19" t="s">
        <v>13</v>
      </c>
      <c r="B11" s="20" t="s">
        <v>14</v>
      </c>
      <c r="C11" s="20" t="s">
        <v>15</v>
      </c>
      <c r="D11" s="21" t="s">
        <v>16</v>
      </c>
      <c r="E11" s="22" t="s">
        <v>17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6" x14ac:dyDescent="0.3">
      <c r="A12" s="23" t="s">
        <v>18</v>
      </c>
      <c r="B12" s="24"/>
      <c r="C12" s="25">
        <v>30000000</v>
      </c>
      <c r="D12" s="21"/>
      <c r="E12" s="22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6" x14ac:dyDescent="0.3">
      <c r="A13" s="23" t="s">
        <v>19</v>
      </c>
      <c r="B13" s="38">
        <v>0.15</v>
      </c>
      <c r="C13" s="25">
        <f>B13*$C$9-C12</f>
        <v>176866642.5</v>
      </c>
      <c r="D13" s="28">
        <v>7</v>
      </c>
      <c r="E13" s="30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6" x14ac:dyDescent="0.3">
      <c r="A14" s="23" t="s">
        <v>20</v>
      </c>
      <c r="B14" s="38">
        <v>0.1</v>
      </c>
      <c r="C14" s="25">
        <f t="shared" ref="C14:C25" si="0">B14*$C$9</f>
        <v>137911095</v>
      </c>
      <c r="D14" s="28">
        <v>30</v>
      </c>
      <c r="E14" s="30">
        <f t="shared" ref="E14:E16" si="1">C14*D14*15%/365</f>
        <v>1700273.7739726028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6" x14ac:dyDescent="0.3">
      <c r="A15" s="23" t="s">
        <v>21</v>
      </c>
      <c r="B15" s="38">
        <v>0.05</v>
      </c>
      <c r="C15" s="25">
        <f t="shared" si="0"/>
        <v>68955547.5</v>
      </c>
      <c r="D15" s="28">
        <v>60</v>
      </c>
      <c r="E15" s="30">
        <f t="shared" si="1"/>
        <v>1700273.7739726028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6" x14ac:dyDescent="0.3">
      <c r="A16" s="23" t="s">
        <v>22</v>
      </c>
      <c r="B16" s="38">
        <v>0.05</v>
      </c>
      <c r="C16" s="25">
        <f t="shared" si="0"/>
        <v>68955547.5</v>
      </c>
      <c r="D16" s="28">
        <v>90</v>
      </c>
      <c r="E16" s="30">
        <f t="shared" si="1"/>
        <v>2550410.6609589043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6" x14ac:dyDescent="0.3">
      <c r="A17" s="53" t="s">
        <v>23</v>
      </c>
      <c r="B17" s="54">
        <v>0.05</v>
      </c>
      <c r="C17" s="37">
        <f t="shared" si="0"/>
        <v>68955547.5</v>
      </c>
      <c r="D17" s="28"/>
      <c r="E17" s="30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6" x14ac:dyDescent="0.3">
      <c r="A18" s="53" t="s">
        <v>24</v>
      </c>
      <c r="B18" s="54">
        <v>0.05</v>
      </c>
      <c r="C18" s="37">
        <f t="shared" si="0"/>
        <v>68955547.5</v>
      </c>
      <c r="D18" s="28"/>
      <c r="E18" s="30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6" x14ac:dyDescent="0.3">
      <c r="A19" s="53" t="s">
        <v>25</v>
      </c>
      <c r="B19" s="54">
        <v>0.05</v>
      </c>
      <c r="C19" s="37">
        <f t="shared" si="0"/>
        <v>68955547.5</v>
      </c>
      <c r="D19" s="28"/>
      <c r="E19" s="30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6" x14ac:dyDescent="0.3">
      <c r="A20" s="53" t="s">
        <v>26</v>
      </c>
      <c r="B20" s="54">
        <v>0.05</v>
      </c>
      <c r="C20" s="37">
        <f t="shared" si="0"/>
        <v>68955547.5</v>
      </c>
      <c r="D20" s="28"/>
      <c r="E20" s="30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3">
      <c r="A21" s="53" t="s">
        <v>28</v>
      </c>
      <c r="B21" s="54">
        <v>0.05</v>
      </c>
      <c r="C21" s="37">
        <f t="shared" si="0"/>
        <v>68955547.5</v>
      </c>
      <c r="D21" s="28"/>
      <c r="E21" s="30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3">
      <c r="A22" s="53" t="s">
        <v>29</v>
      </c>
      <c r="B22" s="54">
        <v>0.05</v>
      </c>
      <c r="C22" s="37">
        <f t="shared" si="0"/>
        <v>68955547.5</v>
      </c>
      <c r="D22" s="28"/>
      <c r="E22" s="30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3">
      <c r="A23" s="53" t="s">
        <v>30</v>
      </c>
      <c r="B23" s="54">
        <v>0.05</v>
      </c>
      <c r="C23" s="37">
        <f t="shared" si="0"/>
        <v>68955547.5</v>
      </c>
      <c r="D23" s="28"/>
      <c r="E23" s="30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3">
      <c r="A24" s="53" t="s">
        <v>31</v>
      </c>
      <c r="B24" s="54">
        <v>0.25</v>
      </c>
      <c r="C24" s="37">
        <f t="shared" si="0"/>
        <v>344777737.5</v>
      </c>
      <c r="D24" s="28"/>
      <c r="E24" s="30" t="s">
        <v>78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3">
      <c r="A25" s="53" t="s">
        <v>32</v>
      </c>
      <c r="B25" s="54">
        <v>0.05</v>
      </c>
      <c r="C25" s="37">
        <f t="shared" si="0"/>
        <v>68955547.5</v>
      </c>
      <c r="D25" s="28"/>
      <c r="E25" s="30" t="s">
        <v>80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3">
      <c r="A26" s="39" t="s">
        <v>9</v>
      </c>
      <c r="B26" s="86">
        <v>1</v>
      </c>
      <c r="C26" s="41">
        <f>SUM(C12:C25)</f>
        <v>1379110950</v>
      </c>
      <c r="D26" s="42"/>
      <c r="E26" s="4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3">
      <c r="A27" s="69"/>
      <c r="B27" s="70"/>
      <c r="C27" s="72"/>
      <c r="D27" s="74"/>
      <c r="E27" s="7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4" customHeight="1" x14ac:dyDescent="0.3">
      <c r="A28" s="136" t="s">
        <v>55</v>
      </c>
      <c r="B28" s="112"/>
      <c r="C28" s="112"/>
      <c r="D28" s="112"/>
      <c r="E28" s="11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3">
      <c r="A29" s="137" t="s">
        <v>0</v>
      </c>
      <c r="B29" s="113"/>
      <c r="C29" s="55" t="str">
        <f>C3</f>
        <v>T1.18-02</v>
      </c>
      <c r="D29" s="55" t="str">
        <f>C4</f>
        <v>2 Phòng Ngủ nhỏ</v>
      </c>
      <c r="E29" s="87">
        <f>C5</f>
        <v>61.6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3">
      <c r="A30" s="138" t="s">
        <v>3</v>
      </c>
      <c r="B30" s="120"/>
      <c r="C30" s="89">
        <f t="shared" ref="C30:C32" si="2">C6</f>
        <v>1313439000</v>
      </c>
      <c r="D30" s="129" t="s">
        <v>40</v>
      </c>
      <c r="E30" s="118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3">
      <c r="A31" s="139" t="s">
        <v>10</v>
      </c>
      <c r="B31" s="113"/>
      <c r="C31" s="91">
        <f t="shared" si="2"/>
        <v>1379110950</v>
      </c>
      <c r="D31" s="117"/>
      <c r="E31" s="118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3">
      <c r="A32" s="139" t="s">
        <v>6</v>
      </c>
      <c r="B32" s="113"/>
      <c r="C32" s="91">
        <f t="shared" si="2"/>
        <v>0</v>
      </c>
      <c r="D32" s="117"/>
      <c r="E32" s="118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3">
      <c r="A33" s="139" t="s">
        <v>9</v>
      </c>
      <c r="B33" s="113"/>
      <c r="C33" s="91">
        <f>C31-C32</f>
        <v>1379110950</v>
      </c>
      <c r="D33" s="119"/>
      <c r="E33" s="120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3">
      <c r="A34" s="134"/>
      <c r="B34" s="112"/>
      <c r="C34" s="112"/>
      <c r="D34" s="112"/>
      <c r="E34" s="11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3">
      <c r="A35" s="55" t="s">
        <v>41</v>
      </c>
      <c r="B35" s="56" t="s">
        <v>42</v>
      </c>
      <c r="C35" s="56" t="s">
        <v>43</v>
      </c>
      <c r="D35" s="55" t="s">
        <v>15</v>
      </c>
      <c r="E35" s="55" t="s">
        <v>44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3">
      <c r="A36" s="55" t="s">
        <v>18</v>
      </c>
      <c r="B36" s="57"/>
      <c r="C36" s="57"/>
      <c r="D36" s="58">
        <v>30000000</v>
      </c>
      <c r="E36" s="59" t="s">
        <v>45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3">
      <c r="A37" s="49">
        <v>1</v>
      </c>
      <c r="B37" s="60">
        <v>0.15</v>
      </c>
      <c r="C37" s="60"/>
      <c r="D37" s="61">
        <f>(B37*C33)-D36</f>
        <v>176866642.5</v>
      </c>
      <c r="E37" s="62" t="s">
        <v>47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3">
      <c r="A38" s="49">
        <v>2</v>
      </c>
      <c r="B38" s="60">
        <v>0.1</v>
      </c>
      <c r="C38" s="60"/>
      <c r="D38" s="61">
        <f>B38*C33</f>
        <v>137911095</v>
      </c>
      <c r="E38" s="62" t="s">
        <v>48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3">
      <c r="A39" s="49">
        <v>3</v>
      </c>
      <c r="B39" s="149"/>
      <c r="C39" s="150">
        <v>0.45</v>
      </c>
      <c r="D39" s="158">
        <f>C39*C33</f>
        <v>620599927.5</v>
      </c>
      <c r="E39" s="159" t="s">
        <v>50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799999999999997" customHeight="1" x14ac:dyDescent="0.3">
      <c r="A40" s="73">
        <v>4</v>
      </c>
      <c r="B40" s="151"/>
      <c r="C40" s="152">
        <v>0.25</v>
      </c>
      <c r="D40" s="153">
        <f>C40*C33</f>
        <v>344777737.5</v>
      </c>
      <c r="E40" s="160" t="s">
        <v>81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1.5" customHeight="1" x14ac:dyDescent="0.3">
      <c r="A41" s="154">
        <v>5</v>
      </c>
      <c r="B41" s="155"/>
      <c r="C41" s="156">
        <v>0.05</v>
      </c>
      <c r="D41" s="157">
        <f>C33*C41</f>
        <v>68955547.5</v>
      </c>
      <c r="E41" s="159" t="s">
        <v>80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3">
      <c r="A42" s="78" t="s">
        <v>53</v>
      </c>
      <c r="B42" s="103">
        <f>SUM(B36:B41)</f>
        <v>0.25</v>
      </c>
      <c r="C42" s="81">
        <f>SUM(C39:C41)</f>
        <v>0.75</v>
      </c>
      <c r="D42" s="123">
        <f>SUM(D36:D41)</f>
        <v>1379110950</v>
      </c>
      <c r="E42" s="1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3">
      <c r="A43" s="62"/>
      <c r="B43" s="105">
        <f>SUM(D36:D38)</f>
        <v>344777737.5</v>
      </c>
      <c r="C43" s="85">
        <f>SUM(D39:D41)</f>
        <v>1034333212.5</v>
      </c>
      <c r="D43" s="124"/>
      <c r="E43" s="12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83.25" customHeight="1" x14ac:dyDescent="0.3">
      <c r="A44" s="133" t="s">
        <v>73</v>
      </c>
      <c r="B44" s="112"/>
      <c r="C44" s="112"/>
      <c r="D44" s="112"/>
      <c r="E44" s="11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3">
      <c r="A45" s="94"/>
      <c r="B45" s="95"/>
      <c r="C45" s="96"/>
      <c r="D45" s="96"/>
      <c r="E45" s="9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3">
      <c r="A46" s="3"/>
      <c r="B46" s="3"/>
      <c r="C46" s="3"/>
      <c r="D46" s="3"/>
      <c r="E46" s="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3">
      <c r="A47" s="3"/>
      <c r="B47" s="3"/>
      <c r="C47" s="3"/>
      <c r="D47" s="3"/>
      <c r="E47" s="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3">
      <c r="A48" s="3"/>
      <c r="B48" s="3"/>
      <c r="C48" s="3"/>
      <c r="D48" s="3"/>
      <c r="E48" s="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3">
      <c r="A49" s="3"/>
      <c r="B49" s="3"/>
      <c r="C49" s="3"/>
      <c r="D49" s="3"/>
      <c r="E49" s="3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3">
      <c r="A50" s="3"/>
      <c r="B50" s="3"/>
      <c r="C50" s="3"/>
      <c r="D50" s="3"/>
      <c r="E50" s="3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3">
      <c r="A51" s="3"/>
      <c r="B51" s="3"/>
      <c r="C51" s="3"/>
      <c r="D51" s="3"/>
      <c r="E51" s="3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3">
      <c r="A52" s="3"/>
      <c r="B52" s="3"/>
      <c r="C52" s="3"/>
      <c r="D52" s="3"/>
      <c r="E52" s="3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3">
      <c r="A53" s="3"/>
      <c r="B53" s="3"/>
      <c r="C53" s="3"/>
      <c r="D53" s="3"/>
      <c r="E53" s="3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3">
      <c r="A54" s="3"/>
      <c r="B54" s="3"/>
      <c r="C54" s="3"/>
      <c r="D54" s="3"/>
      <c r="E54" s="3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3">
      <c r="A55" s="3"/>
      <c r="B55" s="3"/>
      <c r="C55" s="3"/>
      <c r="D55" s="3"/>
      <c r="E55" s="3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3">
      <c r="A56" s="3"/>
      <c r="B56" s="3"/>
      <c r="C56" s="3"/>
      <c r="D56" s="3"/>
      <c r="E56" s="3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3">
      <c r="A57" s="3"/>
      <c r="B57" s="3"/>
      <c r="C57" s="3"/>
      <c r="D57" s="3"/>
      <c r="E57" s="3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3">
      <c r="A58" s="3"/>
      <c r="B58" s="3"/>
      <c r="C58" s="3"/>
      <c r="D58" s="3"/>
      <c r="E58" s="3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3">
      <c r="A59" s="3"/>
      <c r="B59" s="3"/>
      <c r="C59" s="3"/>
      <c r="D59" s="3"/>
      <c r="E59" s="3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3">
      <c r="A60" s="3"/>
      <c r="B60" s="3"/>
      <c r="C60" s="3"/>
      <c r="D60" s="3"/>
      <c r="E60" s="3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3">
      <c r="A61" s="3"/>
      <c r="B61" s="3"/>
      <c r="C61" s="3"/>
      <c r="D61" s="3"/>
      <c r="E61" s="3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3">
      <c r="A62" s="3"/>
      <c r="B62" s="3"/>
      <c r="C62" s="3"/>
      <c r="D62" s="3"/>
      <c r="E62" s="3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3">
      <c r="A63" s="3"/>
      <c r="B63" s="3"/>
      <c r="C63" s="3"/>
      <c r="D63" s="3"/>
      <c r="E63" s="3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3">
      <c r="A64" s="3"/>
      <c r="B64" s="3"/>
      <c r="C64" s="3"/>
      <c r="D64" s="3"/>
      <c r="E64" s="3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3">
      <c r="A65" s="3"/>
      <c r="B65" s="3"/>
      <c r="C65" s="3"/>
      <c r="D65" s="3"/>
      <c r="E65" s="3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3">
      <c r="A66" s="3"/>
      <c r="B66" s="3"/>
      <c r="C66" s="3"/>
      <c r="D66" s="3"/>
      <c r="E66" s="3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3">
      <c r="A67" s="3"/>
      <c r="B67" s="3"/>
      <c r="C67" s="3"/>
      <c r="D67" s="3"/>
      <c r="E67" s="3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3">
      <c r="A68" s="3"/>
      <c r="B68" s="3"/>
      <c r="C68" s="3"/>
      <c r="D68" s="3"/>
      <c r="E68" s="3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3">
      <c r="A69" s="3"/>
      <c r="B69" s="3"/>
      <c r="C69" s="3"/>
      <c r="D69" s="3"/>
      <c r="E69" s="3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3">
      <c r="A70" s="3"/>
      <c r="B70" s="3"/>
      <c r="C70" s="3"/>
      <c r="D70" s="3"/>
      <c r="E70" s="3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3">
      <c r="A71" s="3"/>
      <c r="B71" s="3"/>
      <c r="C71" s="3"/>
      <c r="D71" s="3"/>
      <c r="E71" s="3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3">
      <c r="A72" s="3"/>
      <c r="B72" s="3"/>
      <c r="C72" s="3"/>
      <c r="D72" s="3"/>
      <c r="E72" s="3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3">
      <c r="A73" s="3"/>
      <c r="B73" s="3"/>
      <c r="C73" s="3"/>
      <c r="D73" s="3"/>
      <c r="E73" s="3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3">
      <c r="A74" s="3"/>
      <c r="B74" s="3"/>
      <c r="C74" s="3"/>
      <c r="D74" s="3"/>
      <c r="E74" s="3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3">
      <c r="A75" s="3"/>
      <c r="B75" s="3"/>
      <c r="C75" s="3"/>
      <c r="D75" s="3"/>
      <c r="E75" s="3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3">
      <c r="A76" s="3"/>
      <c r="B76" s="3"/>
      <c r="C76" s="3"/>
      <c r="D76" s="3"/>
      <c r="E76" s="3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3">
      <c r="A77" s="3"/>
      <c r="B77" s="3"/>
      <c r="C77" s="3"/>
      <c r="D77" s="3"/>
      <c r="E77" s="3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3">
      <c r="A78" s="3"/>
      <c r="B78" s="3"/>
      <c r="C78" s="3"/>
      <c r="D78" s="3"/>
      <c r="E78" s="3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3">
      <c r="A79" s="3"/>
      <c r="B79" s="3"/>
      <c r="C79" s="3"/>
      <c r="D79" s="3"/>
      <c r="E79" s="3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3">
      <c r="A80" s="3"/>
      <c r="B80" s="3"/>
      <c r="C80" s="3"/>
      <c r="D80" s="3"/>
      <c r="E80" s="3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3">
      <c r="A81" s="3"/>
      <c r="B81" s="3"/>
      <c r="C81" s="3"/>
      <c r="D81" s="3"/>
      <c r="E81" s="3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3">
      <c r="A82" s="3"/>
      <c r="B82" s="3"/>
      <c r="C82" s="3"/>
      <c r="D82" s="3"/>
      <c r="E82" s="3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3">
      <c r="A83" s="3"/>
      <c r="B83" s="3"/>
      <c r="C83" s="3"/>
      <c r="D83" s="3"/>
      <c r="E83" s="3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3">
      <c r="A84" s="3"/>
      <c r="B84" s="3"/>
      <c r="C84" s="3"/>
      <c r="D84" s="3"/>
      <c r="E84" s="3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3">
      <c r="A85" s="3"/>
      <c r="B85" s="3"/>
      <c r="C85" s="3"/>
      <c r="D85" s="3"/>
      <c r="E85" s="3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3">
      <c r="A86" s="3"/>
      <c r="B86" s="3"/>
      <c r="C86" s="3"/>
      <c r="D86" s="3"/>
      <c r="E86" s="3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3">
      <c r="A87" s="3"/>
      <c r="B87" s="3"/>
      <c r="C87" s="3"/>
      <c r="D87" s="3"/>
      <c r="E87" s="3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3">
      <c r="A88" s="3"/>
      <c r="B88" s="3"/>
      <c r="C88" s="3"/>
      <c r="D88" s="3"/>
      <c r="E88" s="3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3">
      <c r="A89" s="3"/>
      <c r="B89" s="3"/>
      <c r="C89" s="3"/>
      <c r="D89" s="3"/>
      <c r="E89" s="3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3">
      <c r="A90" s="3"/>
      <c r="B90" s="3"/>
      <c r="C90" s="3"/>
      <c r="D90" s="3"/>
      <c r="E90" s="3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3">
      <c r="A91" s="3"/>
      <c r="B91" s="3"/>
      <c r="C91" s="3"/>
      <c r="D91" s="3"/>
      <c r="E91" s="3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3">
      <c r="A92" s="3"/>
      <c r="B92" s="3"/>
      <c r="C92" s="3"/>
      <c r="D92" s="3"/>
      <c r="E92" s="3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3">
      <c r="A93" s="3"/>
      <c r="B93" s="3"/>
      <c r="C93" s="3"/>
      <c r="D93" s="3"/>
      <c r="E93" s="3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3">
      <c r="A94" s="3"/>
      <c r="B94" s="3"/>
      <c r="C94" s="3"/>
      <c r="D94" s="3"/>
      <c r="E94" s="3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3">
      <c r="A95" s="3"/>
      <c r="B95" s="3"/>
      <c r="C95" s="3"/>
      <c r="D95" s="3"/>
      <c r="E95" s="3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3">
      <c r="A96" s="3"/>
      <c r="B96" s="3"/>
      <c r="C96" s="3"/>
      <c r="D96" s="3"/>
      <c r="E96" s="3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3">
      <c r="A97" s="3"/>
      <c r="B97" s="3"/>
      <c r="C97" s="3"/>
      <c r="D97" s="3"/>
      <c r="E97" s="3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3">
      <c r="A98" s="3"/>
      <c r="B98" s="3"/>
      <c r="C98" s="3"/>
      <c r="D98" s="3"/>
      <c r="E98" s="3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3">
      <c r="A99" s="3"/>
      <c r="B99" s="3"/>
      <c r="C99" s="3"/>
      <c r="D99" s="3"/>
      <c r="E99" s="3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3">
      <c r="A100" s="3"/>
      <c r="B100" s="3"/>
      <c r="C100" s="3"/>
      <c r="D100" s="3"/>
      <c r="E100" s="3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3">
      <c r="A101" s="3"/>
      <c r="B101" s="3"/>
      <c r="C101" s="3"/>
      <c r="D101" s="3"/>
      <c r="E101" s="3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3">
      <c r="A102" s="3"/>
      <c r="B102" s="3"/>
      <c r="C102" s="3"/>
      <c r="D102" s="3"/>
      <c r="E102" s="3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3">
      <c r="A103" s="3"/>
      <c r="B103" s="3"/>
      <c r="C103" s="3"/>
      <c r="D103" s="3"/>
      <c r="E103" s="3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3">
      <c r="A104" s="3"/>
      <c r="B104" s="3"/>
      <c r="C104" s="3"/>
      <c r="D104" s="3"/>
      <c r="E104" s="3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3">
      <c r="A105" s="3"/>
      <c r="B105" s="3"/>
      <c r="C105" s="3"/>
      <c r="D105" s="3"/>
      <c r="E105" s="3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3">
      <c r="A106" s="3"/>
      <c r="B106" s="3"/>
      <c r="C106" s="3"/>
      <c r="D106" s="3"/>
      <c r="E106" s="3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3">
      <c r="A107" s="3"/>
      <c r="B107" s="3"/>
      <c r="C107" s="3"/>
      <c r="D107" s="3"/>
      <c r="E107" s="3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3">
      <c r="A108" s="3"/>
      <c r="B108" s="3"/>
      <c r="C108" s="3"/>
      <c r="D108" s="3"/>
      <c r="E108" s="3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3">
      <c r="A109" s="3"/>
      <c r="B109" s="3"/>
      <c r="C109" s="3"/>
      <c r="D109" s="3"/>
      <c r="E109" s="3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3">
      <c r="A110" s="3"/>
      <c r="B110" s="3"/>
      <c r="C110" s="3"/>
      <c r="D110" s="3"/>
      <c r="E110" s="3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3">
      <c r="A111" s="3"/>
      <c r="B111" s="3"/>
      <c r="C111" s="3"/>
      <c r="D111" s="3"/>
      <c r="E111" s="3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3">
      <c r="A112" s="3"/>
      <c r="B112" s="3"/>
      <c r="C112" s="3"/>
      <c r="D112" s="3"/>
      <c r="E112" s="3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3">
      <c r="A113" s="3"/>
      <c r="B113" s="3"/>
      <c r="C113" s="3"/>
      <c r="D113" s="3"/>
      <c r="E113" s="3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3">
      <c r="A114" s="3"/>
      <c r="B114" s="3"/>
      <c r="C114" s="3"/>
      <c r="D114" s="3"/>
      <c r="E114" s="3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3">
      <c r="A115" s="3"/>
      <c r="B115" s="3"/>
      <c r="C115" s="3"/>
      <c r="D115" s="3"/>
      <c r="E115" s="3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3">
      <c r="A116" s="3"/>
      <c r="B116" s="3"/>
      <c r="C116" s="3"/>
      <c r="D116" s="3"/>
      <c r="E116" s="3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3">
      <c r="A117" s="3"/>
      <c r="B117" s="3"/>
      <c r="C117" s="3"/>
      <c r="D117" s="3"/>
      <c r="E117" s="3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3">
      <c r="A118" s="3"/>
      <c r="B118" s="3"/>
      <c r="C118" s="3"/>
      <c r="D118" s="3"/>
      <c r="E118" s="3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3">
      <c r="A119" s="3"/>
      <c r="B119" s="3"/>
      <c r="C119" s="3"/>
      <c r="D119" s="3"/>
      <c r="E119" s="3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3">
      <c r="A120" s="3"/>
      <c r="B120" s="3"/>
      <c r="C120" s="3"/>
      <c r="D120" s="3"/>
      <c r="E120" s="3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3">
      <c r="A121" s="3"/>
      <c r="B121" s="3"/>
      <c r="C121" s="3"/>
      <c r="D121" s="3"/>
      <c r="E121" s="3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3">
      <c r="A122" s="3"/>
      <c r="B122" s="3"/>
      <c r="C122" s="3"/>
      <c r="D122" s="3"/>
      <c r="E122" s="3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3">
      <c r="A123" s="3"/>
      <c r="B123" s="3"/>
      <c r="C123" s="3"/>
      <c r="D123" s="3"/>
      <c r="E123" s="3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3">
      <c r="A124" s="3"/>
      <c r="B124" s="3"/>
      <c r="C124" s="3"/>
      <c r="D124" s="3"/>
      <c r="E124" s="3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3">
      <c r="A125" s="3"/>
      <c r="B125" s="3"/>
      <c r="C125" s="3"/>
      <c r="D125" s="3"/>
      <c r="E125" s="3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3">
      <c r="A126" s="3"/>
      <c r="B126" s="3"/>
      <c r="C126" s="3"/>
      <c r="D126" s="3"/>
      <c r="E126" s="3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3">
      <c r="A127" s="3"/>
      <c r="B127" s="3"/>
      <c r="C127" s="3"/>
      <c r="D127" s="3"/>
      <c r="E127" s="3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3">
      <c r="A128" s="3"/>
      <c r="B128" s="3"/>
      <c r="C128" s="3"/>
      <c r="D128" s="3"/>
      <c r="E128" s="3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3">
      <c r="A129" s="3"/>
      <c r="B129" s="3"/>
      <c r="C129" s="3"/>
      <c r="D129" s="3"/>
      <c r="E129" s="3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3">
      <c r="A130" s="3"/>
      <c r="B130" s="3"/>
      <c r="C130" s="3"/>
      <c r="D130" s="3"/>
      <c r="E130" s="3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3">
      <c r="A131" s="3"/>
      <c r="B131" s="3"/>
      <c r="C131" s="3"/>
      <c r="D131" s="3"/>
      <c r="E131" s="3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3">
      <c r="A132" s="3"/>
      <c r="B132" s="3"/>
      <c r="C132" s="3"/>
      <c r="D132" s="3"/>
      <c r="E132" s="3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3">
      <c r="A133" s="3"/>
      <c r="B133" s="3"/>
      <c r="C133" s="3"/>
      <c r="D133" s="3"/>
      <c r="E133" s="3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3">
      <c r="A134" s="3"/>
      <c r="B134" s="3"/>
      <c r="C134" s="3"/>
      <c r="D134" s="3"/>
      <c r="E134" s="3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3">
      <c r="A135" s="3"/>
      <c r="B135" s="3"/>
      <c r="C135" s="3"/>
      <c r="D135" s="3"/>
      <c r="E135" s="3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3">
      <c r="A136" s="3"/>
      <c r="B136" s="3"/>
      <c r="C136" s="3"/>
      <c r="D136" s="3"/>
      <c r="E136" s="3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3">
      <c r="A137" s="3"/>
      <c r="B137" s="3"/>
      <c r="C137" s="3"/>
      <c r="D137" s="3"/>
      <c r="E137" s="3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3">
      <c r="A138" s="3"/>
      <c r="B138" s="3"/>
      <c r="C138" s="3"/>
      <c r="D138" s="3"/>
      <c r="E138" s="3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3">
      <c r="A139" s="3"/>
      <c r="B139" s="3"/>
      <c r="C139" s="3"/>
      <c r="D139" s="3"/>
      <c r="E139" s="3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3">
      <c r="A140" s="3"/>
      <c r="B140" s="3"/>
      <c r="C140" s="3"/>
      <c r="D140" s="3"/>
      <c r="E140" s="3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3">
      <c r="A141" s="3"/>
      <c r="B141" s="3"/>
      <c r="C141" s="3"/>
      <c r="D141" s="3"/>
      <c r="E141" s="3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3">
      <c r="A142" s="3"/>
      <c r="B142" s="3"/>
      <c r="C142" s="3"/>
      <c r="D142" s="3"/>
      <c r="E142" s="3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3">
      <c r="A143" s="3"/>
      <c r="B143" s="3"/>
      <c r="C143" s="3"/>
      <c r="D143" s="3"/>
      <c r="E143" s="3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3">
      <c r="A144" s="3"/>
      <c r="B144" s="3"/>
      <c r="C144" s="3"/>
      <c r="D144" s="3"/>
      <c r="E144" s="3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3">
      <c r="A145" s="3"/>
      <c r="B145" s="3"/>
      <c r="C145" s="3"/>
      <c r="D145" s="3"/>
      <c r="E145" s="3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3">
      <c r="A146" s="3"/>
      <c r="B146" s="3"/>
      <c r="C146" s="3"/>
      <c r="D146" s="3"/>
      <c r="E146" s="3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3">
      <c r="A147" s="3"/>
      <c r="B147" s="3"/>
      <c r="C147" s="3"/>
      <c r="D147" s="3"/>
      <c r="E147" s="3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3">
      <c r="A148" s="3"/>
      <c r="B148" s="3"/>
      <c r="C148" s="3"/>
      <c r="D148" s="3"/>
      <c r="E148" s="3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3">
      <c r="A149" s="3"/>
      <c r="B149" s="3"/>
      <c r="C149" s="3"/>
      <c r="D149" s="3"/>
      <c r="E149" s="3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3">
      <c r="A150" s="3"/>
      <c r="B150" s="3"/>
      <c r="C150" s="3"/>
      <c r="D150" s="3"/>
      <c r="E150" s="3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3">
      <c r="A151" s="3"/>
      <c r="B151" s="3"/>
      <c r="C151" s="3"/>
      <c r="D151" s="3"/>
      <c r="E151" s="3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3">
      <c r="A152" s="3"/>
      <c r="B152" s="3"/>
      <c r="C152" s="3"/>
      <c r="D152" s="3"/>
      <c r="E152" s="3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3">
      <c r="A153" s="3"/>
      <c r="B153" s="3"/>
      <c r="C153" s="3"/>
      <c r="D153" s="3"/>
      <c r="E153" s="3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3">
      <c r="A154" s="3"/>
      <c r="B154" s="3"/>
      <c r="C154" s="3"/>
      <c r="D154" s="3"/>
      <c r="E154" s="3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3">
      <c r="A155" s="3"/>
      <c r="B155" s="3"/>
      <c r="C155" s="3"/>
      <c r="D155" s="3"/>
      <c r="E155" s="3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3">
      <c r="A156" s="3"/>
      <c r="B156" s="3"/>
      <c r="C156" s="3"/>
      <c r="D156" s="3"/>
      <c r="E156" s="3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3">
      <c r="A157" s="3"/>
      <c r="B157" s="3"/>
      <c r="C157" s="3"/>
      <c r="D157" s="3"/>
      <c r="E157" s="3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3">
      <c r="A158" s="3"/>
      <c r="B158" s="3"/>
      <c r="C158" s="3"/>
      <c r="D158" s="3"/>
      <c r="E158" s="3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3">
      <c r="A159" s="3"/>
      <c r="B159" s="3"/>
      <c r="C159" s="3"/>
      <c r="D159" s="3"/>
      <c r="E159" s="3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3">
      <c r="A160" s="3"/>
      <c r="B160" s="3"/>
      <c r="C160" s="3"/>
      <c r="D160" s="3"/>
      <c r="E160" s="3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3">
      <c r="A161" s="3"/>
      <c r="B161" s="3"/>
      <c r="C161" s="3"/>
      <c r="D161" s="3"/>
      <c r="E161" s="3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3">
      <c r="A162" s="3"/>
      <c r="B162" s="3"/>
      <c r="C162" s="3"/>
      <c r="D162" s="3"/>
      <c r="E162" s="3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3">
      <c r="A163" s="3"/>
      <c r="B163" s="3"/>
      <c r="C163" s="3"/>
      <c r="D163" s="3"/>
      <c r="E163" s="3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3">
      <c r="A164" s="3"/>
      <c r="B164" s="3"/>
      <c r="C164" s="3"/>
      <c r="D164" s="3"/>
      <c r="E164" s="3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3">
      <c r="A165" s="3"/>
      <c r="B165" s="3"/>
      <c r="C165" s="3"/>
      <c r="D165" s="3"/>
      <c r="E165" s="3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3">
      <c r="A166" s="3"/>
      <c r="B166" s="3"/>
      <c r="C166" s="3"/>
      <c r="D166" s="3"/>
      <c r="E166" s="3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3">
      <c r="A167" s="3"/>
      <c r="B167" s="3"/>
      <c r="C167" s="3"/>
      <c r="D167" s="3"/>
      <c r="E167" s="3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3">
      <c r="A168" s="3"/>
      <c r="B168" s="3"/>
      <c r="C168" s="3"/>
      <c r="D168" s="3"/>
      <c r="E168" s="3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3">
      <c r="A169" s="3"/>
      <c r="B169" s="3"/>
      <c r="C169" s="3"/>
      <c r="D169" s="3"/>
      <c r="E169" s="3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3">
      <c r="A170" s="3"/>
      <c r="B170" s="3"/>
      <c r="C170" s="3"/>
      <c r="D170" s="3"/>
      <c r="E170" s="3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3">
      <c r="A171" s="3"/>
      <c r="B171" s="3"/>
      <c r="C171" s="3"/>
      <c r="D171" s="3"/>
      <c r="E171" s="3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3">
      <c r="A172" s="3"/>
      <c r="B172" s="3"/>
      <c r="C172" s="3"/>
      <c r="D172" s="3"/>
      <c r="E172" s="3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3">
      <c r="A173" s="3"/>
      <c r="B173" s="3"/>
      <c r="C173" s="3"/>
      <c r="D173" s="3"/>
      <c r="E173" s="3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3">
      <c r="A174" s="3"/>
      <c r="B174" s="3"/>
      <c r="C174" s="3"/>
      <c r="D174" s="3"/>
      <c r="E174" s="3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3">
      <c r="A175" s="3"/>
      <c r="B175" s="3"/>
      <c r="C175" s="3"/>
      <c r="D175" s="3"/>
      <c r="E175" s="3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3">
      <c r="A176" s="3"/>
      <c r="B176" s="3"/>
      <c r="C176" s="3"/>
      <c r="D176" s="3"/>
      <c r="E176" s="3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3">
      <c r="A177" s="3"/>
      <c r="B177" s="3"/>
      <c r="C177" s="3"/>
      <c r="D177" s="3"/>
      <c r="E177" s="3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3">
      <c r="A178" s="3"/>
      <c r="B178" s="3"/>
      <c r="C178" s="3"/>
      <c r="D178" s="3"/>
      <c r="E178" s="3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3">
      <c r="A179" s="3"/>
      <c r="B179" s="3"/>
      <c r="C179" s="3"/>
      <c r="D179" s="3"/>
      <c r="E179" s="3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3">
      <c r="A180" s="3"/>
      <c r="B180" s="3"/>
      <c r="C180" s="3"/>
      <c r="D180" s="3"/>
      <c r="E180" s="3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3">
      <c r="A181" s="3"/>
      <c r="B181" s="3"/>
      <c r="C181" s="3"/>
      <c r="D181" s="3"/>
      <c r="E181" s="3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3">
      <c r="A182" s="3"/>
      <c r="B182" s="3"/>
      <c r="C182" s="3"/>
      <c r="D182" s="3"/>
      <c r="E182" s="3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3">
      <c r="A183" s="3"/>
      <c r="B183" s="3"/>
      <c r="C183" s="3"/>
      <c r="D183" s="3"/>
      <c r="E183" s="3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3">
      <c r="A184" s="3"/>
      <c r="B184" s="3"/>
      <c r="C184" s="3"/>
      <c r="D184" s="3"/>
      <c r="E184" s="3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3">
      <c r="A185" s="3"/>
      <c r="B185" s="3"/>
      <c r="C185" s="3"/>
      <c r="D185" s="3"/>
      <c r="E185" s="3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3">
      <c r="A186" s="3"/>
      <c r="B186" s="3"/>
      <c r="C186" s="3"/>
      <c r="D186" s="3"/>
      <c r="E186" s="3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3">
      <c r="A187" s="3"/>
      <c r="B187" s="3"/>
      <c r="C187" s="3"/>
      <c r="D187" s="3"/>
      <c r="E187" s="3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3">
      <c r="A188" s="3"/>
      <c r="B188" s="3"/>
      <c r="C188" s="3"/>
      <c r="D188" s="3"/>
      <c r="E188" s="3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3">
      <c r="A189" s="3"/>
      <c r="B189" s="3"/>
      <c r="C189" s="3"/>
      <c r="D189" s="3"/>
      <c r="E189" s="3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3">
      <c r="A190" s="3"/>
      <c r="B190" s="3"/>
      <c r="C190" s="3"/>
      <c r="D190" s="3"/>
      <c r="E190" s="3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3">
      <c r="A191" s="3"/>
      <c r="B191" s="3"/>
      <c r="C191" s="3"/>
      <c r="D191" s="3"/>
      <c r="E191" s="3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3">
      <c r="A192" s="3"/>
      <c r="B192" s="3"/>
      <c r="C192" s="3"/>
      <c r="D192" s="3"/>
      <c r="E192" s="3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3">
      <c r="A193" s="3"/>
      <c r="B193" s="3"/>
      <c r="C193" s="3"/>
      <c r="D193" s="3"/>
      <c r="E193" s="3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3">
      <c r="A194" s="3"/>
      <c r="B194" s="3"/>
      <c r="C194" s="3"/>
      <c r="D194" s="3"/>
      <c r="E194" s="3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3">
      <c r="A195" s="3"/>
      <c r="B195" s="3"/>
      <c r="C195" s="3"/>
      <c r="D195" s="3"/>
      <c r="E195" s="3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3">
      <c r="A196" s="3"/>
      <c r="B196" s="3"/>
      <c r="C196" s="3"/>
      <c r="D196" s="3"/>
      <c r="E196" s="3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3">
      <c r="A197" s="3"/>
      <c r="B197" s="3"/>
      <c r="C197" s="3"/>
      <c r="D197" s="3"/>
      <c r="E197" s="3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3">
      <c r="A198" s="3"/>
      <c r="B198" s="3"/>
      <c r="C198" s="3"/>
      <c r="D198" s="3"/>
      <c r="E198" s="3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3">
      <c r="A199" s="3"/>
      <c r="B199" s="3"/>
      <c r="C199" s="3"/>
      <c r="D199" s="3"/>
      <c r="E199" s="3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3">
      <c r="A200" s="3"/>
      <c r="B200" s="3"/>
      <c r="C200" s="3"/>
      <c r="D200" s="3"/>
      <c r="E200" s="3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3">
      <c r="A201" s="3"/>
      <c r="B201" s="3"/>
      <c r="C201" s="3"/>
      <c r="D201" s="3"/>
      <c r="E201" s="3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3">
      <c r="A202" s="3"/>
      <c r="B202" s="3"/>
      <c r="C202" s="3"/>
      <c r="D202" s="3"/>
      <c r="E202" s="3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3">
      <c r="A203" s="3"/>
      <c r="B203" s="3"/>
      <c r="C203" s="3"/>
      <c r="D203" s="3"/>
      <c r="E203" s="3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3">
      <c r="A204" s="3"/>
      <c r="B204" s="3"/>
      <c r="C204" s="3"/>
      <c r="D204" s="3"/>
      <c r="E204" s="3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3">
      <c r="A205" s="3"/>
      <c r="B205" s="3"/>
      <c r="C205" s="3"/>
      <c r="D205" s="3"/>
      <c r="E205" s="3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3">
      <c r="A206" s="3"/>
      <c r="B206" s="3"/>
      <c r="C206" s="3"/>
      <c r="D206" s="3"/>
      <c r="E206" s="3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3">
      <c r="A207" s="3"/>
      <c r="B207" s="3"/>
      <c r="C207" s="3"/>
      <c r="D207" s="3"/>
      <c r="E207" s="3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3">
      <c r="A208" s="3"/>
      <c r="B208" s="3"/>
      <c r="C208" s="3"/>
      <c r="D208" s="3"/>
      <c r="E208" s="3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3">
      <c r="A209" s="3"/>
      <c r="B209" s="3"/>
      <c r="C209" s="3"/>
      <c r="D209" s="3"/>
      <c r="E209" s="3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3">
      <c r="A210" s="3"/>
      <c r="B210" s="3"/>
      <c r="C210" s="3"/>
      <c r="D210" s="3"/>
      <c r="E210" s="3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3">
      <c r="A211" s="3"/>
      <c r="B211" s="3"/>
      <c r="C211" s="3"/>
      <c r="D211" s="3"/>
      <c r="E211" s="3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3">
      <c r="A212" s="3"/>
      <c r="B212" s="3"/>
      <c r="C212" s="3"/>
      <c r="D212" s="3"/>
      <c r="E212" s="3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3">
      <c r="A213" s="3"/>
      <c r="B213" s="3"/>
      <c r="C213" s="3"/>
      <c r="D213" s="3"/>
      <c r="E213" s="3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3">
      <c r="A214" s="3"/>
      <c r="B214" s="3"/>
      <c r="C214" s="3"/>
      <c r="D214" s="3"/>
      <c r="E214" s="3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3">
      <c r="A215" s="3"/>
      <c r="B215" s="3"/>
      <c r="C215" s="3"/>
      <c r="D215" s="3"/>
      <c r="E215" s="3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3">
      <c r="A216" s="3"/>
      <c r="B216" s="3"/>
      <c r="C216" s="3"/>
      <c r="D216" s="3"/>
      <c r="E216" s="3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3">
      <c r="A217" s="3"/>
      <c r="B217" s="3"/>
      <c r="C217" s="3"/>
      <c r="D217" s="3"/>
      <c r="E217" s="3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3">
      <c r="A218" s="3"/>
      <c r="B218" s="3"/>
      <c r="C218" s="3"/>
      <c r="D218" s="3"/>
      <c r="E218" s="3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3">
      <c r="A219" s="3"/>
      <c r="B219" s="3"/>
      <c r="C219" s="3"/>
      <c r="D219" s="3"/>
      <c r="E219" s="3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3">
      <c r="A220" s="3"/>
      <c r="B220" s="3"/>
      <c r="C220" s="3"/>
      <c r="D220" s="3"/>
      <c r="E220" s="3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3">
      <c r="A221" s="3"/>
      <c r="B221" s="3"/>
      <c r="C221" s="3"/>
      <c r="D221" s="3"/>
      <c r="E221" s="3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3">
      <c r="A222" s="3"/>
      <c r="B222" s="3"/>
      <c r="C222" s="3"/>
      <c r="D222" s="3"/>
      <c r="E222" s="3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3">
      <c r="A223" s="3"/>
      <c r="B223" s="3"/>
      <c r="C223" s="3"/>
      <c r="D223" s="3"/>
      <c r="E223" s="3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3">
      <c r="A224" s="3"/>
      <c r="B224" s="3"/>
      <c r="C224" s="3"/>
      <c r="D224" s="3"/>
      <c r="E224" s="3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3">
      <c r="A225" s="3"/>
      <c r="B225" s="3"/>
      <c r="C225" s="3"/>
      <c r="D225" s="3"/>
      <c r="E225" s="3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3">
      <c r="A226" s="3"/>
      <c r="B226" s="3"/>
      <c r="C226" s="3"/>
      <c r="D226" s="3"/>
      <c r="E226" s="3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3">
      <c r="A227" s="3"/>
      <c r="B227" s="3"/>
      <c r="C227" s="3"/>
      <c r="D227" s="3"/>
      <c r="E227" s="3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3">
      <c r="A228" s="3"/>
      <c r="B228" s="3"/>
      <c r="C228" s="3"/>
      <c r="D228" s="3"/>
      <c r="E228" s="3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3">
      <c r="A229" s="3"/>
      <c r="B229" s="3"/>
      <c r="C229" s="3"/>
      <c r="D229" s="3"/>
      <c r="E229" s="3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3">
      <c r="A230" s="3"/>
      <c r="B230" s="3"/>
      <c r="C230" s="3"/>
      <c r="D230" s="3"/>
      <c r="E230" s="3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3">
      <c r="A231" s="3"/>
      <c r="B231" s="3"/>
      <c r="C231" s="3"/>
      <c r="D231" s="3"/>
      <c r="E231" s="3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3">
      <c r="A232" s="3"/>
      <c r="B232" s="3"/>
      <c r="C232" s="3"/>
      <c r="D232" s="3"/>
      <c r="E232" s="3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3">
      <c r="A233" s="3"/>
      <c r="B233" s="3"/>
      <c r="C233" s="3"/>
      <c r="D233" s="3"/>
      <c r="E233" s="3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3">
      <c r="A234" s="3"/>
      <c r="B234" s="3"/>
      <c r="C234" s="3"/>
      <c r="D234" s="3"/>
      <c r="E234" s="3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3">
      <c r="A235" s="3"/>
      <c r="B235" s="3"/>
      <c r="C235" s="3"/>
      <c r="D235" s="3"/>
      <c r="E235" s="3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3">
      <c r="A236" s="3"/>
      <c r="B236" s="3"/>
      <c r="C236" s="3"/>
      <c r="D236" s="3"/>
      <c r="E236" s="3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3">
      <c r="A237" s="3"/>
      <c r="B237" s="3"/>
      <c r="C237" s="3"/>
      <c r="D237" s="3"/>
      <c r="E237" s="3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3">
      <c r="A238" s="3"/>
      <c r="B238" s="3"/>
      <c r="C238" s="3"/>
      <c r="D238" s="3"/>
      <c r="E238" s="3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3">
      <c r="A239" s="3"/>
      <c r="B239" s="3"/>
      <c r="C239" s="3"/>
      <c r="D239" s="3"/>
      <c r="E239" s="3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3">
      <c r="A240" s="3"/>
      <c r="B240" s="3"/>
      <c r="C240" s="3"/>
      <c r="D240" s="3"/>
      <c r="E240" s="3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3">
      <c r="A241" s="3"/>
      <c r="B241" s="3"/>
      <c r="C241" s="3"/>
      <c r="D241" s="3"/>
      <c r="E241" s="3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3">
      <c r="A242" s="3"/>
      <c r="B242" s="3"/>
      <c r="C242" s="3"/>
      <c r="D242" s="3"/>
      <c r="E242" s="3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3">
      <c r="A243" s="3"/>
      <c r="B243" s="3"/>
      <c r="C243" s="3"/>
      <c r="D243" s="3"/>
      <c r="E243" s="3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3">
      <c r="A244" s="3"/>
      <c r="B244" s="3"/>
      <c r="C244" s="3"/>
      <c r="D244" s="3"/>
      <c r="E244" s="3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6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mergeCells count="22">
    <mergeCell ref="D42:D43"/>
    <mergeCell ref="E42:E43"/>
    <mergeCell ref="A44:E44"/>
    <mergeCell ref="A34:E34"/>
    <mergeCell ref="A7:B7"/>
    <mergeCell ref="A8:B8"/>
    <mergeCell ref="A10:E10"/>
    <mergeCell ref="A28:E28"/>
    <mergeCell ref="A29:B29"/>
    <mergeCell ref="A30:B30"/>
    <mergeCell ref="D30:E33"/>
    <mergeCell ref="A31:B31"/>
    <mergeCell ref="A32:B32"/>
    <mergeCell ref="A33:B33"/>
    <mergeCell ref="A1:E1"/>
    <mergeCell ref="A2:E2"/>
    <mergeCell ref="A3:B3"/>
    <mergeCell ref="D3:E9"/>
    <mergeCell ref="A4:B4"/>
    <mergeCell ref="A5:B5"/>
    <mergeCell ref="A6:B6"/>
    <mergeCell ref="A9:B9"/>
  </mergeCells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98"/>
  <sheetViews>
    <sheetView zoomScale="85" zoomScaleNormal="85" workbookViewId="0">
      <selection activeCell="D3" sqref="D3:E9"/>
    </sheetView>
  </sheetViews>
  <sheetFormatPr defaultColWidth="14.44140625" defaultRowHeight="15" customHeight="1" x14ac:dyDescent="0.3"/>
  <cols>
    <col min="1" max="1" width="12.21875" customWidth="1"/>
    <col min="2" max="2" width="16.44140625" customWidth="1"/>
    <col min="3" max="3" width="18.21875" customWidth="1"/>
    <col min="4" max="4" width="18.5546875" customWidth="1"/>
    <col min="5" max="5" width="34" customWidth="1"/>
    <col min="6" max="26" width="8.77734375" customWidth="1"/>
  </cols>
  <sheetData>
    <row r="1" spans="1:5" ht="68.25" customHeight="1" x14ac:dyDescent="0.35">
      <c r="A1" s="140"/>
      <c r="B1" s="109"/>
      <c r="C1" s="109"/>
      <c r="D1" s="109"/>
      <c r="E1" s="110"/>
    </row>
    <row r="2" spans="1:5" ht="14.4" x14ac:dyDescent="0.3">
      <c r="A2" s="141" t="s">
        <v>4</v>
      </c>
      <c r="B2" s="112"/>
      <c r="C2" s="112"/>
      <c r="D2" s="112"/>
      <c r="E2" s="113"/>
    </row>
    <row r="3" spans="1:5" ht="15" customHeight="1" x14ac:dyDescent="0.3">
      <c r="A3" s="114" t="s">
        <v>0</v>
      </c>
      <c r="B3" s="113"/>
      <c r="C3" s="11" t="str">
        <f>'ĐIỀN THÔNG TIN '!B1</f>
        <v>T1.18-02</v>
      </c>
      <c r="D3" s="115" t="s">
        <v>74</v>
      </c>
      <c r="E3" s="116"/>
    </row>
    <row r="4" spans="1:5" ht="15.6" x14ac:dyDescent="0.3">
      <c r="A4" s="114" t="s">
        <v>1</v>
      </c>
      <c r="B4" s="113"/>
      <c r="C4" s="11" t="str">
        <f>'ĐIỀN THÔNG TIN '!B2</f>
        <v>2 Phòng Ngủ nhỏ</v>
      </c>
      <c r="D4" s="117"/>
      <c r="E4" s="118"/>
    </row>
    <row r="5" spans="1:5" ht="15.6" x14ac:dyDescent="0.3">
      <c r="A5" s="114" t="s">
        <v>2</v>
      </c>
      <c r="B5" s="113"/>
      <c r="C5" s="15">
        <f>'ĐIỀN THÔNG TIN '!B3</f>
        <v>61.6</v>
      </c>
      <c r="D5" s="117"/>
      <c r="E5" s="118"/>
    </row>
    <row r="6" spans="1:5" ht="15.6" x14ac:dyDescent="0.3">
      <c r="A6" s="121" t="s">
        <v>3</v>
      </c>
      <c r="B6" s="113"/>
      <c r="C6" s="16">
        <f>'ĐIỀN THÔNG TIN '!B4</f>
        <v>1313439000</v>
      </c>
      <c r="D6" s="117"/>
      <c r="E6" s="118"/>
    </row>
    <row r="7" spans="1:5" ht="15.6" x14ac:dyDescent="0.3">
      <c r="A7" s="122" t="s">
        <v>10</v>
      </c>
      <c r="B7" s="113"/>
      <c r="C7" s="18">
        <f>C6*5%+C6</f>
        <v>1379110950</v>
      </c>
      <c r="D7" s="117"/>
      <c r="E7" s="118"/>
    </row>
    <row r="8" spans="1:5" ht="15.6" x14ac:dyDescent="0.3">
      <c r="A8" s="122" t="s">
        <v>11</v>
      </c>
      <c r="B8" s="113"/>
      <c r="C8" s="18">
        <f>'ĐIỀN THÔNG TIN '!B5</f>
        <v>0</v>
      </c>
      <c r="D8" s="117"/>
      <c r="E8" s="118"/>
    </row>
    <row r="9" spans="1:5" ht="15.6" x14ac:dyDescent="0.3">
      <c r="A9" s="122" t="s">
        <v>9</v>
      </c>
      <c r="B9" s="113"/>
      <c r="C9" s="18">
        <f>C7-C8</f>
        <v>1379110950</v>
      </c>
      <c r="D9" s="119"/>
      <c r="E9" s="120"/>
    </row>
    <row r="10" spans="1:5" ht="14.4" x14ac:dyDescent="0.3">
      <c r="A10" s="143" t="s">
        <v>12</v>
      </c>
      <c r="B10" s="135"/>
      <c r="C10" s="135"/>
      <c r="D10" s="135"/>
      <c r="E10" s="128"/>
    </row>
    <row r="11" spans="1:5" ht="15.6" x14ac:dyDescent="0.3">
      <c r="A11" s="19" t="s">
        <v>13</v>
      </c>
      <c r="B11" s="20" t="s">
        <v>14</v>
      </c>
      <c r="C11" s="20" t="s">
        <v>15</v>
      </c>
      <c r="D11" s="21" t="s">
        <v>16</v>
      </c>
      <c r="E11" s="22" t="s">
        <v>17</v>
      </c>
    </row>
    <row r="12" spans="1:5" ht="15.6" x14ac:dyDescent="0.3">
      <c r="A12" s="23" t="s">
        <v>18</v>
      </c>
      <c r="B12" s="24"/>
      <c r="C12" s="25">
        <v>30000000</v>
      </c>
      <c r="D12" s="21"/>
      <c r="E12" s="22"/>
    </row>
    <row r="13" spans="1:5" ht="15.6" x14ac:dyDescent="0.3">
      <c r="A13" s="26" t="s">
        <v>19</v>
      </c>
      <c r="B13" s="27">
        <v>0.15</v>
      </c>
      <c r="C13" s="25">
        <f>B13*$C$9-C12</f>
        <v>176866642.5</v>
      </c>
      <c r="D13" s="28">
        <v>7</v>
      </c>
      <c r="E13" s="30"/>
    </row>
    <row r="14" spans="1:5" ht="15.6" x14ac:dyDescent="0.3">
      <c r="A14" s="26" t="s">
        <v>20</v>
      </c>
      <c r="B14" s="27">
        <v>0.05</v>
      </c>
      <c r="C14" s="25">
        <f t="shared" ref="C14:C30" si="0">B14*$C$9</f>
        <v>68955547.5</v>
      </c>
      <c r="D14" s="28">
        <v>60</v>
      </c>
      <c r="E14" s="30">
        <f t="shared" ref="E14:E16" si="1">C14*D14*15%/365</f>
        <v>1700273.7739726028</v>
      </c>
    </row>
    <row r="15" spans="1:5" ht="15.6" x14ac:dyDescent="0.3">
      <c r="A15" s="26" t="s">
        <v>21</v>
      </c>
      <c r="B15" s="27">
        <v>0.05</v>
      </c>
      <c r="C15" s="25">
        <f t="shared" si="0"/>
        <v>68955547.5</v>
      </c>
      <c r="D15" s="28">
        <v>120</v>
      </c>
      <c r="E15" s="30">
        <f t="shared" si="1"/>
        <v>3400547.5479452056</v>
      </c>
    </row>
    <row r="16" spans="1:5" ht="15.6" x14ac:dyDescent="0.3">
      <c r="A16" s="26" t="s">
        <v>22</v>
      </c>
      <c r="B16" s="27">
        <v>0.05</v>
      </c>
      <c r="C16" s="25">
        <f t="shared" si="0"/>
        <v>68955547.5</v>
      </c>
      <c r="D16" s="28">
        <v>150</v>
      </c>
      <c r="E16" s="30">
        <f t="shared" si="1"/>
        <v>4250684.4349315064</v>
      </c>
    </row>
    <row r="17" spans="1:5" ht="15.6" x14ac:dyDescent="0.3">
      <c r="A17" s="35" t="s">
        <v>23</v>
      </c>
      <c r="B17" s="36">
        <v>0.05</v>
      </c>
      <c r="C17" s="37">
        <f t="shared" si="0"/>
        <v>68955547.5</v>
      </c>
      <c r="D17" s="28"/>
      <c r="E17" s="30"/>
    </row>
    <row r="18" spans="1:5" ht="15.6" x14ac:dyDescent="0.3">
      <c r="A18" s="35" t="s">
        <v>24</v>
      </c>
      <c r="B18" s="36">
        <v>0.03</v>
      </c>
      <c r="C18" s="37">
        <f t="shared" si="0"/>
        <v>41373328.5</v>
      </c>
      <c r="D18" s="28"/>
      <c r="E18" s="30"/>
    </row>
    <row r="19" spans="1:5" ht="15.6" x14ac:dyDescent="0.3">
      <c r="A19" s="35" t="s">
        <v>25</v>
      </c>
      <c r="B19" s="36">
        <v>0.03</v>
      </c>
      <c r="C19" s="37">
        <f t="shared" si="0"/>
        <v>41373328.5</v>
      </c>
      <c r="D19" s="28"/>
      <c r="E19" s="30"/>
    </row>
    <row r="20" spans="1:5" ht="15.6" x14ac:dyDescent="0.3">
      <c r="A20" s="35" t="s">
        <v>26</v>
      </c>
      <c r="B20" s="36">
        <v>0.03</v>
      </c>
      <c r="C20" s="37">
        <f t="shared" si="0"/>
        <v>41373328.5</v>
      </c>
      <c r="D20" s="28"/>
      <c r="E20" s="30"/>
    </row>
    <row r="21" spans="1:5" ht="15.75" customHeight="1" x14ac:dyDescent="0.3">
      <c r="A21" s="35" t="s">
        <v>28</v>
      </c>
      <c r="B21" s="36">
        <v>0.03</v>
      </c>
      <c r="C21" s="37">
        <f t="shared" si="0"/>
        <v>41373328.5</v>
      </c>
      <c r="D21" s="28"/>
      <c r="E21" s="30"/>
    </row>
    <row r="22" spans="1:5" ht="15.75" customHeight="1" x14ac:dyDescent="0.3">
      <c r="A22" s="35" t="s">
        <v>29</v>
      </c>
      <c r="B22" s="36">
        <v>0.03</v>
      </c>
      <c r="C22" s="37">
        <f t="shared" si="0"/>
        <v>41373328.5</v>
      </c>
      <c r="D22" s="28"/>
      <c r="E22" s="30"/>
    </row>
    <row r="23" spans="1:5" ht="15.75" customHeight="1" x14ac:dyDescent="0.3">
      <c r="A23" s="35" t="s">
        <v>30</v>
      </c>
      <c r="B23" s="36">
        <v>0.03</v>
      </c>
      <c r="C23" s="37">
        <f t="shared" si="0"/>
        <v>41373328.5</v>
      </c>
      <c r="D23" s="28"/>
      <c r="E23" s="30"/>
    </row>
    <row r="24" spans="1:5" ht="15.75" customHeight="1" x14ac:dyDescent="0.3">
      <c r="A24" s="35" t="s">
        <v>31</v>
      </c>
      <c r="B24" s="36">
        <v>0.03</v>
      </c>
      <c r="C24" s="37">
        <f t="shared" si="0"/>
        <v>41373328.5</v>
      </c>
      <c r="D24" s="28"/>
      <c r="E24" s="30"/>
    </row>
    <row r="25" spans="1:5" ht="15.75" customHeight="1" x14ac:dyDescent="0.3">
      <c r="A25" s="35" t="s">
        <v>32</v>
      </c>
      <c r="B25" s="36">
        <v>0.03</v>
      </c>
      <c r="C25" s="37">
        <f t="shared" si="0"/>
        <v>41373328.5</v>
      </c>
      <c r="D25" s="28"/>
      <c r="E25" s="24"/>
    </row>
    <row r="26" spans="1:5" ht="15.75" customHeight="1" x14ac:dyDescent="0.3">
      <c r="A26" s="35" t="s">
        <v>33</v>
      </c>
      <c r="B26" s="36">
        <v>0.03</v>
      </c>
      <c r="C26" s="37">
        <f t="shared" si="0"/>
        <v>41373328.5</v>
      </c>
      <c r="D26" s="28"/>
      <c r="E26" s="30"/>
    </row>
    <row r="27" spans="1:5" ht="15.75" customHeight="1" x14ac:dyDescent="0.3">
      <c r="A27" s="35" t="s">
        <v>34</v>
      </c>
      <c r="B27" s="36">
        <v>0.03</v>
      </c>
      <c r="C27" s="37">
        <f t="shared" si="0"/>
        <v>41373328.5</v>
      </c>
      <c r="D27" s="28"/>
      <c r="E27" s="30"/>
    </row>
    <row r="28" spans="1:5" ht="15.75" customHeight="1" x14ac:dyDescent="0.3">
      <c r="A28" s="35" t="s">
        <v>35</v>
      </c>
      <c r="B28" s="36">
        <v>0.05</v>
      </c>
      <c r="C28" s="37">
        <f t="shared" si="0"/>
        <v>68955547.5</v>
      </c>
      <c r="D28" s="28"/>
      <c r="E28" s="30"/>
    </row>
    <row r="29" spans="1:5" ht="15.75" customHeight="1" x14ac:dyDescent="0.3">
      <c r="A29" s="35" t="s">
        <v>36</v>
      </c>
      <c r="B29" s="36">
        <v>0.25</v>
      </c>
      <c r="C29" s="37">
        <f t="shared" si="0"/>
        <v>344777737.5</v>
      </c>
      <c r="D29" s="28"/>
      <c r="E29" s="30" t="s">
        <v>37</v>
      </c>
    </row>
    <row r="30" spans="1:5" ht="15.75" customHeight="1" x14ac:dyDescent="0.3">
      <c r="A30" s="35" t="s">
        <v>38</v>
      </c>
      <c r="B30" s="36">
        <v>0.05</v>
      </c>
      <c r="C30" s="37">
        <f t="shared" si="0"/>
        <v>68955547.5</v>
      </c>
      <c r="D30" s="28"/>
      <c r="E30" s="30"/>
    </row>
    <row r="31" spans="1:5" ht="15.75" customHeight="1" x14ac:dyDescent="0.3">
      <c r="A31" s="39" t="s">
        <v>9</v>
      </c>
      <c r="B31" s="40">
        <f>SUM(B13:B30)</f>
        <v>1.0000000000000002</v>
      </c>
      <c r="C31" s="41">
        <f>SUM(C12:C30)</f>
        <v>1379110950</v>
      </c>
      <c r="D31" s="42"/>
      <c r="E31" s="43"/>
    </row>
    <row r="32" spans="1:5" ht="15.75" customHeight="1" x14ac:dyDescent="0.3">
      <c r="A32" s="44"/>
      <c r="B32" s="45"/>
      <c r="C32" s="46"/>
      <c r="D32" s="47"/>
      <c r="E32" s="48"/>
    </row>
    <row r="33" spans="1:5" ht="15.75" customHeight="1" x14ac:dyDescent="0.3">
      <c r="A33" s="144" t="s">
        <v>39</v>
      </c>
      <c r="B33" s="112"/>
      <c r="C33" s="112"/>
      <c r="D33" s="112"/>
      <c r="E33" s="113"/>
    </row>
    <row r="34" spans="1:5" ht="15.75" customHeight="1" x14ac:dyDescent="0.3">
      <c r="A34" s="137" t="s">
        <v>0</v>
      </c>
      <c r="B34" s="113"/>
      <c r="C34" s="49" t="str">
        <f>C3</f>
        <v>T1.18-02</v>
      </c>
      <c r="D34" s="49" t="str">
        <f>C4</f>
        <v>2 Phòng Ngủ nhỏ</v>
      </c>
      <c r="E34" s="50">
        <f>C5</f>
        <v>61.6</v>
      </c>
    </row>
    <row r="35" spans="1:5" ht="15.75" customHeight="1" x14ac:dyDescent="0.3">
      <c r="A35" s="138" t="s">
        <v>3</v>
      </c>
      <c r="B35" s="120"/>
      <c r="C35" s="51">
        <f t="shared" ref="C35:C37" si="2">C6</f>
        <v>1313439000</v>
      </c>
      <c r="D35" s="129" t="s">
        <v>75</v>
      </c>
      <c r="E35" s="118"/>
    </row>
    <row r="36" spans="1:5" ht="15.6" x14ac:dyDescent="0.3">
      <c r="A36" s="139" t="s">
        <v>10</v>
      </c>
      <c r="B36" s="113"/>
      <c r="C36" s="52">
        <f t="shared" si="2"/>
        <v>1379110950</v>
      </c>
      <c r="D36" s="117"/>
      <c r="E36" s="118"/>
    </row>
    <row r="37" spans="1:5" ht="15.6" x14ac:dyDescent="0.3">
      <c r="A37" s="139" t="s">
        <v>6</v>
      </c>
      <c r="B37" s="113"/>
      <c r="C37" s="52">
        <f t="shared" si="2"/>
        <v>0</v>
      </c>
      <c r="D37" s="117"/>
      <c r="E37" s="118"/>
    </row>
    <row r="38" spans="1:5" ht="15.6" x14ac:dyDescent="0.3">
      <c r="A38" s="139" t="s">
        <v>9</v>
      </c>
      <c r="B38" s="113"/>
      <c r="C38" s="52">
        <f>C36-C37</f>
        <v>1379110950</v>
      </c>
      <c r="D38" s="119"/>
      <c r="E38" s="120"/>
    </row>
    <row r="39" spans="1:5" ht="15.75" customHeight="1" x14ac:dyDescent="0.3">
      <c r="A39" s="142"/>
      <c r="B39" s="112"/>
      <c r="C39" s="112"/>
      <c r="D39" s="112"/>
      <c r="E39" s="113"/>
    </row>
    <row r="40" spans="1:5" ht="18.75" customHeight="1" x14ac:dyDescent="0.3">
      <c r="A40" s="55" t="s">
        <v>41</v>
      </c>
      <c r="B40" s="56" t="s">
        <v>42</v>
      </c>
      <c r="C40" s="56" t="s">
        <v>43</v>
      </c>
      <c r="D40" s="55" t="s">
        <v>15</v>
      </c>
      <c r="E40" s="55" t="s">
        <v>44</v>
      </c>
    </row>
    <row r="41" spans="1:5" ht="15.75" customHeight="1" x14ac:dyDescent="0.3">
      <c r="A41" s="55" t="s">
        <v>18</v>
      </c>
      <c r="B41" s="57"/>
      <c r="C41" s="57"/>
      <c r="D41" s="58">
        <v>30000000</v>
      </c>
      <c r="E41" s="59" t="s">
        <v>45</v>
      </c>
    </row>
    <row r="42" spans="1:5" ht="15.75" customHeight="1" x14ac:dyDescent="0.3">
      <c r="A42" s="49">
        <v>1</v>
      </c>
      <c r="B42" s="60">
        <v>0.15</v>
      </c>
      <c r="C42" s="60"/>
      <c r="D42" s="61">
        <f>(B42*C38)-D41</f>
        <v>176866642.5</v>
      </c>
      <c r="E42" s="62" t="s">
        <v>47</v>
      </c>
    </row>
    <row r="43" spans="1:5" ht="15.75" customHeight="1" x14ac:dyDescent="0.3">
      <c r="A43" s="49">
        <v>2</v>
      </c>
      <c r="B43" s="60">
        <v>0.05</v>
      </c>
      <c r="C43" s="60"/>
      <c r="D43" s="61">
        <f>B43*C38</f>
        <v>68955547.5</v>
      </c>
      <c r="E43" s="62" t="s">
        <v>48</v>
      </c>
    </row>
    <row r="44" spans="1:5" ht="15.75" customHeight="1" x14ac:dyDescent="0.3">
      <c r="A44" s="49">
        <v>3</v>
      </c>
      <c r="B44" s="63">
        <v>0.05</v>
      </c>
      <c r="C44" s="64"/>
      <c r="D44" s="65">
        <f>B44*C38</f>
        <v>68955547.5</v>
      </c>
      <c r="E44" s="66" t="s">
        <v>49</v>
      </c>
    </row>
    <row r="45" spans="1:5" ht="15.75" customHeight="1" x14ac:dyDescent="0.3">
      <c r="A45" s="49">
        <v>4</v>
      </c>
      <c r="B45" s="67"/>
      <c r="C45" s="68">
        <v>0.45</v>
      </c>
      <c r="D45" s="71">
        <f>C45*C38</f>
        <v>620599927.5</v>
      </c>
      <c r="E45" s="62" t="s">
        <v>50</v>
      </c>
    </row>
    <row r="46" spans="1:5" ht="32.25" customHeight="1" x14ac:dyDescent="0.3">
      <c r="A46" s="73">
        <v>5</v>
      </c>
      <c r="B46" s="67"/>
      <c r="C46" s="68">
        <v>0.25</v>
      </c>
      <c r="D46" s="71">
        <f>C38*C46</f>
        <v>344777737.5</v>
      </c>
      <c r="E46" s="76" t="s">
        <v>51</v>
      </c>
    </row>
    <row r="47" spans="1:5" ht="33" customHeight="1" x14ac:dyDescent="0.3">
      <c r="A47" s="49">
        <v>6</v>
      </c>
      <c r="B47" s="67"/>
      <c r="C47" s="67">
        <v>0.05</v>
      </c>
      <c r="D47" s="77">
        <f>C47*C38</f>
        <v>68955547.5</v>
      </c>
      <c r="E47" s="76" t="s">
        <v>52</v>
      </c>
    </row>
    <row r="48" spans="1:5" ht="15.75" customHeight="1" x14ac:dyDescent="0.3">
      <c r="A48" s="78" t="s">
        <v>53</v>
      </c>
      <c r="B48" s="79">
        <f>SUM(B41:B47)</f>
        <v>0.25</v>
      </c>
      <c r="C48" s="81">
        <v>0.75</v>
      </c>
      <c r="D48" s="123">
        <f>SUM(D41:D47)</f>
        <v>1379110950</v>
      </c>
      <c r="E48" s="123"/>
    </row>
    <row r="49" spans="1:5" ht="15.75" customHeight="1" x14ac:dyDescent="0.3">
      <c r="A49" s="62"/>
      <c r="B49" s="83">
        <f>SUM(D41:D44)</f>
        <v>344777737.5</v>
      </c>
      <c r="C49" s="85">
        <f>SUM(D45:D46)+D47</f>
        <v>1034333212.5</v>
      </c>
      <c r="D49" s="124"/>
      <c r="E49" s="124"/>
    </row>
    <row r="50" spans="1:5" ht="66.75" customHeight="1" x14ac:dyDescent="0.3">
      <c r="A50" s="133" t="s">
        <v>54</v>
      </c>
      <c r="B50" s="112"/>
      <c r="C50" s="112"/>
      <c r="D50" s="112"/>
      <c r="E50" s="113"/>
    </row>
    <row r="51" spans="1:5" ht="15.75" customHeight="1" x14ac:dyDescent="0.3"/>
    <row r="52" spans="1:5" ht="15.75" customHeight="1" x14ac:dyDescent="0.3"/>
    <row r="53" spans="1:5" ht="15.75" customHeight="1" x14ac:dyDescent="0.3"/>
    <row r="54" spans="1:5" ht="15.75" customHeight="1" x14ac:dyDescent="0.3"/>
    <row r="55" spans="1:5" ht="15.75" customHeight="1" x14ac:dyDescent="0.3"/>
    <row r="56" spans="1:5" ht="15.75" customHeight="1" x14ac:dyDescent="0.3"/>
    <row r="57" spans="1:5" ht="15.75" customHeight="1" x14ac:dyDescent="0.3"/>
    <row r="58" spans="1:5" ht="15.75" customHeight="1" x14ac:dyDescent="0.3"/>
    <row r="59" spans="1:5" ht="15.75" customHeight="1" x14ac:dyDescent="0.3"/>
    <row r="60" spans="1:5" ht="15.75" customHeight="1" x14ac:dyDescent="0.3"/>
    <row r="61" spans="1:5" ht="15.75" customHeight="1" x14ac:dyDescent="0.3"/>
    <row r="62" spans="1:5" ht="15.75" customHeight="1" x14ac:dyDescent="0.3"/>
    <row r="63" spans="1:5" ht="15.75" customHeight="1" x14ac:dyDescent="0.3"/>
    <row r="64" spans="1:5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22">
    <mergeCell ref="D48:D49"/>
    <mergeCell ref="E48:E49"/>
    <mergeCell ref="A50:E50"/>
    <mergeCell ref="A39:E39"/>
    <mergeCell ref="A7:B7"/>
    <mergeCell ref="A8:B8"/>
    <mergeCell ref="A10:E10"/>
    <mergeCell ref="A33:E33"/>
    <mergeCell ref="A34:B34"/>
    <mergeCell ref="A35:B35"/>
    <mergeCell ref="D35:E38"/>
    <mergeCell ref="A36:B36"/>
    <mergeCell ref="A37:B37"/>
    <mergeCell ref="A38:B38"/>
    <mergeCell ref="A1:E1"/>
    <mergeCell ref="A2:E2"/>
    <mergeCell ref="A3:B3"/>
    <mergeCell ref="D3:E9"/>
    <mergeCell ref="A4:B4"/>
    <mergeCell ref="A5:B5"/>
    <mergeCell ref="A6:B6"/>
    <mergeCell ref="A9:B9"/>
  </mergeCells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="91" zoomScaleNormal="91" workbookViewId="0">
      <selection sqref="A1:C1"/>
    </sheetView>
  </sheetViews>
  <sheetFormatPr defaultColWidth="14.44140625" defaultRowHeight="15" customHeight="1" x14ac:dyDescent="0.3"/>
  <cols>
    <col min="1" max="1" width="27.5546875" customWidth="1"/>
    <col min="2" max="2" width="11.77734375" customWidth="1"/>
    <col min="3" max="3" width="15.21875" customWidth="1"/>
    <col min="4" max="4" width="11.77734375" customWidth="1"/>
    <col min="5" max="5" width="10.5546875" customWidth="1"/>
    <col min="6" max="6" width="18.5546875" customWidth="1"/>
    <col min="7" max="26" width="12.5546875" customWidth="1"/>
  </cols>
  <sheetData>
    <row r="1" spans="1:26" ht="15.75" customHeight="1" x14ac:dyDescent="0.3">
      <c r="A1" s="145" t="s">
        <v>57</v>
      </c>
      <c r="B1" s="112"/>
      <c r="C1" s="113"/>
      <c r="D1" s="93" t="str">
        <f>'ĐIỀN THÔNG TIN '!B1</f>
        <v>T1.18-02</v>
      </c>
      <c r="E1" s="93" t="str">
        <f>'ĐIỀN THÔNG TIN '!B2</f>
        <v>2 Phòng Ngủ nhỏ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3">
      <c r="A2" s="97" t="s">
        <v>58</v>
      </c>
      <c r="B2" s="24"/>
      <c r="C2" s="98">
        <f>'ĐIỀN THÔNG TIN '!B7</f>
        <v>1379110950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3">
      <c r="A3" s="97" t="s">
        <v>59</v>
      </c>
      <c r="B3" s="99">
        <v>0.75</v>
      </c>
      <c r="C3" s="98">
        <f>C2*B3</f>
        <v>1034333212.5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3">
      <c r="A4" s="97" t="s">
        <v>60</v>
      </c>
      <c r="B4" s="99">
        <v>0.45</v>
      </c>
      <c r="C4" s="98">
        <f>C2*B4</f>
        <v>620599927.5</v>
      </c>
      <c r="D4" s="100">
        <v>46380</v>
      </c>
      <c r="E4" s="146" t="s">
        <v>61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3">
      <c r="A5" s="97" t="s">
        <v>62</v>
      </c>
      <c r="B5" s="99">
        <v>0.25</v>
      </c>
      <c r="C5" s="98">
        <f>C2*B5</f>
        <v>344777737.5</v>
      </c>
      <c r="D5" s="100">
        <v>46836</v>
      </c>
      <c r="E5" s="147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97" t="s">
        <v>63</v>
      </c>
      <c r="B6" s="99">
        <v>0.05</v>
      </c>
      <c r="C6" s="101">
        <f>C2*5%</f>
        <v>68955547.5</v>
      </c>
      <c r="D6" s="100">
        <f>DATE(2029,1,24)</f>
        <v>47142</v>
      </c>
      <c r="E6" s="12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97" t="s">
        <v>64</v>
      </c>
      <c r="B7" s="24"/>
      <c r="C7" s="24">
        <v>300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">
      <c r="A8" s="97" t="s">
        <v>65</v>
      </c>
      <c r="B8" s="24"/>
      <c r="C8" s="102">
        <v>5.3999999999999999E-2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3">
      <c r="A10" s="148" t="s">
        <v>66</v>
      </c>
      <c r="B10" s="109"/>
      <c r="C10" s="109"/>
      <c r="D10" s="109"/>
      <c r="E10" s="109"/>
      <c r="F10" s="110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104" t="s">
        <v>67</v>
      </c>
      <c r="B11" s="104" t="s">
        <v>68</v>
      </c>
      <c r="C11" s="104" t="s">
        <v>69</v>
      </c>
      <c r="D11" s="104" t="s">
        <v>70</v>
      </c>
      <c r="E11" s="104" t="s">
        <v>71</v>
      </c>
      <c r="F11" s="104" t="s">
        <v>72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3">
        <v>1</v>
      </c>
      <c r="B12" s="106">
        <f>$D$4</f>
        <v>46380</v>
      </c>
      <c r="C12" s="107">
        <f>$C$4</f>
        <v>620599927.5</v>
      </c>
      <c r="D12" s="107">
        <f>C12/$C$7</f>
        <v>2068666.425</v>
      </c>
      <c r="E12" s="107">
        <f t="shared" ref="E12:E13" si="0">C12*$C$8/12</f>
        <v>2792699.6737500001</v>
      </c>
      <c r="F12" s="107">
        <f t="shared" ref="F12:F266" si="1">D12+E12</f>
        <v>4861366.0987499999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3">
      <c r="A13" s="3">
        <f t="shared" ref="A13:A267" si="2">A12+1</f>
        <v>2</v>
      </c>
      <c r="B13" s="106">
        <f t="shared" ref="B13:B267" si="3">EDATE(B12, 1)</f>
        <v>46411</v>
      </c>
      <c r="C13" s="107">
        <f t="shared" ref="C13:C267" si="4">C12-D12+IF(B13=$D$5,$C$5,0)+IF(B13=$D$6,$C$6,0)</f>
        <v>618531261.07500005</v>
      </c>
      <c r="D13" s="107">
        <f t="shared" ref="D13:D267" si="5">C13/($C$7-A13+1)</f>
        <v>2068666.425</v>
      </c>
      <c r="E13" s="107">
        <f t="shared" si="0"/>
        <v>2783390.6748375003</v>
      </c>
      <c r="F13" s="107">
        <f t="shared" si="1"/>
        <v>4852057.0998375006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3">
      <c r="A14" s="3">
        <f t="shared" si="2"/>
        <v>3</v>
      </c>
      <c r="B14" s="106">
        <f t="shared" si="3"/>
        <v>46442</v>
      </c>
      <c r="C14" s="107">
        <f t="shared" si="4"/>
        <v>616462594.6500001</v>
      </c>
      <c r="D14" s="107">
        <f t="shared" si="5"/>
        <v>2068666.4250000003</v>
      </c>
      <c r="E14" s="107">
        <f t="shared" ref="E14:E268" si="6">(C13-D13)*$C$8/12</f>
        <v>2774081.6759250001</v>
      </c>
      <c r="F14" s="107">
        <f t="shared" si="1"/>
        <v>4842748.1009250004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3">
      <c r="A15" s="3">
        <f t="shared" si="2"/>
        <v>4</v>
      </c>
      <c r="B15" s="106">
        <f t="shared" si="3"/>
        <v>46470</v>
      </c>
      <c r="C15" s="107">
        <f t="shared" si="4"/>
        <v>614393928.22500014</v>
      </c>
      <c r="D15" s="107">
        <f t="shared" si="5"/>
        <v>2068666.4250000005</v>
      </c>
      <c r="E15" s="107">
        <f t="shared" si="6"/>
        <v>2764772.6770125008</v>
      </c>
      <c r="F15" s="107">
        <f t="shared" si="1"/>
        <v>4833439.1020125011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3">
      <c r="A16" s="3">
        <f t="shared" si="2"/>
        <v>5</v>
      </c>
      <c r="B16" s="106">
        <f t="shared" si="3"/>
        <v>46501</v>
      </c>
      <c r="C16" s="107">
        <f t="shared" si="4"/>
        <v>612325261.80000019</v>
      </c>
      <c r="D16" s="107">
        <f t="shared" si="5"/>
        <v>2068666.4250000007</v>
      </c>
      <c r="E16" s="107">
        <f t="shared" si="6"/>
        <v>2755463.6781000006</v>
      </c>
      <c r="F16" s="107">
        <f t="shared" si="1"/>
        <v>4824130.1031000018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6" x14ac:dyDescent="0.3">
      <c r="A17" s="3">
        <f t="shared" si="2"/>
        <v>6</v>
      </c>
      <c r="B17" s="106">
        <f t="shared" si="3"/>
        <v>46531</v>
      </c>
      <c r="C17" s="107">
        <f t="shared" si="4"/>
        <v>610256595.37500024</v>
      </c>
      <c r="D17" s="107">
        <f t="shared" si="5"/>
        <v>2068666.4250000007</v>
      </c>
      <c r="E17" s="107">
        <f t="shared" si="6"/>
        <v>2746154.6791875013</v>
      </c>
      <c r="F17" s="107">
        <f t="shared" si="1"/>
        <v>4814821.1041875016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6" x14ac:dyDescent="0.3">
      <c r="A18" s="3">
        <f t="shared" si="2"/>
        <v>7</v>
      </c>
      <c r="B18" s="106">
        <f t="shared" si="3"/>
        <v>46562</v>
      </c>
      <c r="C18" s="107">
        <f t="shared" si="4"/>
        <v>608187928.95000029</v>
      </c>
      <c r="D18" s="107">
        <f t="shared" si="5"/>
        <v>2068666.425000001</v>
      </c>
      <c r="E18" s="107">
        <f t="shared" si="6"/>
        <v>2736845.6802750011</v>
      </c>
      <c r="F18" s="107">
        <f t="shared" si="1"/>
        <v>4805512.1052750023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6" x14ac:dyDescent="0.3">
      <c r="A19" s="3">
        <f t="shared" si="2"/>
        <v>8</v>
      </c>
      <c r="B19" s="106">
        <f t="shared" si="3"/>
        <v>46592</v>
      </c>
      <c r="C19" s="107">
        <f t="shared" si="4"/>
        <v>606119262.52500033</v>
      </c>
      <c r="D19" s="107">
        <f t="shared" si="5"/>
        <v>2068666.4250000012</v>
      </c>
      <c r="E19" s="107">
        <f t="shared" si="6"/>
        <v>2727536.6813625013</v>
      </c>
      <c r="F19" s="107">
        <f t="shared" si="1"/>
        <v>4796203.106362503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6" x14ac:dyDescent="0.3">
      <c r="A20" s="3">
        <f t="shared" si="2"/>
        <v>9</v>
      </c>
      <c r="B20" s="106">
        <f t="shared" si="3"/>
        <v>46623</v>
      </c>
      <c r="C20" s="107">
        <f t="shared" si="4"/>
        <v>604050596.10000038</v>
      </c>
      <c r="D20" s="107">
        <f t="shared" si="5"/>
        <v>2068666.4250000012</v>
      </c>
      <c r="E20" s="107">
        <f t="shared" si="6"/>
        <v>2718227.6824500016</v>
      </c>
      <c r="F20" s="107">
        <f t="shared" si="1"/>
        <v>4786894.1074500028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6" x14ac:dyDescent="0.3">
      <c r="A21" s="3">
        <f t="shared" si="2"/>
        <v>10</v>
      </c>
      <c r="B21" s="106">
        <f t="shared" si="3"/>
        <v>46654</v>
      </c>
      <c r="C21" s="107">
        <f t="shared" si="4"/>
        <v>601981929.67500043</v>
      </c>
      <c r="D21" s="107">
        <f t="shared" si="5"/>
        <v>2068666.4250000014</v>
      </c>
      <c r="E21" s="107">
        <f t="shared" si="6"/>
        <v>2708918.6835375018</v>
      </c>
      <c r="F21" s="107">
        <f t="shared" si="1"/>
        <v>4777585.1085375035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6" x14ac:dyDescent="0.3">
      <c r="A22" s="3">
        <f t="shared" si="2"/>
        <v>11</v>
      </c>
      <c r="B22" s="106">
        <f t="shared" si="3"/>
        <v>46684</v>
      </c>
      <c r="C22" s="107">
        <f t="shared" si="4"/>
        <v>599913263.25000048</v>
      </c>
      <c r="D22" s="107">
        <f t="shared" si="5"/>
        <v>2068666.4250000017</v>
      </c>
      <c r="E22" s="107">
        <f t="shared" si="6"/>
        <v>2699609.6846250021</v>
      </c>
      <c r="F22" s="107">
        <f t="shared" si="1"/>
        <v>4768276.1096250042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6" x14ac:dyDescent="0.3">
      <c r="A23" s="3">
        <f t="shared" si="2"/>
        <v>12</v>
      </c>
      <c r="B23" s="106">
        <f t="shared" si="3"/>
        <v>46715</v>
      </c>
      <c r="C23" s="107">
        <f t="shared" si="4"/>
        <v>597844596.82500052</v>
      </c>
      <c r="D23" s="107">
        <f t="shared" si="5"/>
        <v>2068666.4250000019</v>
      </c>
      <c r="E23" s="107">
        <f t="shared" si="6"/>
        <v>2690300.6857125023</v>
      </c>
      <c r="F23" s="107">
        <f t="shared" si="1"/>
        <v>4758967.110712504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6" x14ac:dyDescent="0.3">
      <c r="A24" s="3">
        <f t="shared" si="2"/>
        <v>13</v>
      </c>
      <c r="B24" s="106">
        <f t="shared" si="3"/>
        <v>46745</v>
      </c>
      <c r="C24" s="107">
        <f t="shared" si="4"/>
        <v>595775930.40000057</v>
      </c>
      <c r="D24" s="107">
        <f t="shared" si="5"/>
        <v>2068666.4250000019</v>
      </c>
      <c r="E24" s="107">
        <f t="shared" si="6"/>
        <v>2680991.6868000026</v>
      </c>
      <c r="F24" s="107">
        <f t="shared" si="1"/>
        <v>4749658.1118000047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6" x14ac:dyDescent="0.3">
      <c r="A25" s="3">
        <f t="shared" si="2"/>
        <v>14</v>
      </c>
      <c r="B25" s="106">
        <f t="shared" si="3"/>
        <v>46776</v>
      </c>
      <c r="C25" s="107">
        <f t="shared" si="4"/>
        <v>593707263.97500062</v>
      </c>
      <c r="D25" s="107">
        <f t="shared" si="5"/>
        <v>2068666.4250000021</v>
      </c>
      <c r="E25" s="107">
        <f t="shared" si="6"/>
        <v>2671682.6878875028</v>
      </c>
      <c r="F25" s="107">
        <f t="shared" si="1"/>
        <v>4740349.1128875054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6" x14ac:dyDescent="0.3">
      <c r="A26" s="3">
        <f t="shared" si="2"/>
        <v>15</v>
      </c>
      <c r="B26" s="106">
        <f t="shared" si="3"/>
        <v>46807</v>
      </c>
      <c r="C26" s="107">
        <f t="shared" si="4"/>
        <v>591638597.55000067</v>
      </c>
      <c r="D26" s="107">
        <f t="shared" si="5"/>
        <v>2068666.4250000024</v>
      </c>
      <c r="E26" s="107">
        <f t="shared" si="6"/>
        <v>2662373.6889750031</v>
      </c>
      <c r="F26" s="107">
        <f t="shared" si="1"/>
        <v>4731040.1139750052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6" x14ac:dyDescent="0.3">
      <c r="A27" s="3">
        <f t="shared" si="2"/>
        <v>16</v>
      </c>
      <c r="B27" s="106">
        <f t="shared" si="3"/>
        <v>46836</v>
      </c>
      <c r="C27" s="107">
        <f t="shared" si="4"/>
        <v>934347668.62500072</v>
      </c>
      <c r="D27" s="107">
        <f t="shared" si="5"/>
        <v>3278412.8723684237</v>
      </c>
      <c r="E27" s="107">
        <f t="shared" si="6"/>
        <v>2653064.6900625033</v>
      </c>
      <c r="F27" s="107">
        <f t="shared" si="1"/>
        <v>5931477.5624309275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6" x14ac:dyDescent="0.3">
      <c r="A28" s="3">
        <f t="shared" si="2"/>
        <v>17</v>
      </c>
      <c r="B28" s="106">
        <f t="shared" si="3"/>
        <v>46867</v>
      </c>
      <c r="C28" s="107">
        <f t="shared" si="4"/>
        <v>931069255.75263226</v>
      </c>
      <c r="D28" s="107">
        <f t="shared" si="5"/>
        <v>3278412.8723684233</v>
      </c>
      <c r="E28" s="107">
        <f t="shared" si="6"/>
        <v>4189811.6508868448</v>
      </c>
      <c r="F28" s="107">
        <f t="shared" si="1"/>
        <v>7468224.5232552681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6" x14ac:dyDescent="0.3">
      <c r="A29" s="3">
        <f t="shared" si="2"/>
        <v>18</v>
      </c>
      <c r="B29" s="106">
        <f t="shared" si="3"/>
        <v>46897</v>
      </c>
      <c r="C29" s="107">
        <f t="shared" si="4"/>
        <v>927790842.88026381</v>
      </c>
      <c r="D29" s="107">
        <f t="shared" si="5"/>
        <v>3278412.8723684233</v>
      </c>
      <c r="E29" s="107">
        <f t="shared" si="6"/>
        <v>4175058.7929611872</v>
      </c>
      <c r="F29" s="107">
        <f t="shared" si="1"/>
        <v>7453471.6653296109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6" x14ac:dyDescent="0.3">
      <c r="A30" s="3">
        <f t="shared" si="2"/>
        <v>19</v>
      </c>
      <c r="B30" s="106">
        <f t="shared" si="3"/>
        <v>46928</v>
      </c>
      <c r="C30" s="107">
        <f t="shared" si="4"/>
        <v>924512430.00789535</v>
      </c>
      <c r="D30" s="107">
        <f t="shared" si="5"/>
        <v>3278412.8723684233</v>
      </c>
      <c r="E30" s="107">
        <f t="shared" si="6"/>
        <v>4160305.9350355291</v>
      </c>
      <c r="F30" s="107">
        <f t="shared" si="1"/>
        <v>7438718.8074039519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6" x14ac:dyDescent="0.3">
      <c r="A31" s="3">
        <f t="shared" si="2"/>
        <v>20</v>
      </c>
      <c r="B31" s="106">
        <f t="shared" si="3"/>
        <v>46958</v>
      </c>
      <c r="C31" s="107">
        <f t="shared" si="4"/>
        <v>921234017.1355269</v>
      </c>
      <c r="D31" s="107">
        <f t="shared" si="5"/>
        <v>3278412.8723684233</v>
      </c>
      <c r="E31" s="107">
        <f t="shared" si="6"/>
        <v>4145553.077109871</v>
      </c>
      <c r="F31" s="107">
        <f t="shared" si="1"/>
        <v>7423965.9494782947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6" x14ac:dyDescent="0.3">
      <c r="A32" s="3">
        <f t="shared" si="2"/>
        <v>21</v>
      </c>
      <c r="B32" s="106">
        <f t="shared" si="3"/>
        <v>46989</v>
      </c>
      <c r="C32" s="107">
        <f t="shared" si="4"/>
        <v>917955604.26315844</v>
      </c>
      <c r="D32" s="107">
        <f t="shared" si="5"/>
        <v>3278412.8723684228</v>
      </c>
      <c r="E32" s="107">
        <f t="shared" si="6"/>
        <v>4130800.2191842129</v>
      </c>
      <c r="F32" s="107">
        <f t="shared" si="1"/>
        <v>7409213.0915526357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6" x14ac:dyDescent="0.3">
      <c r="A33" s="3">
        <f t="shared" si="2"/>
        <v>22</v>
      </c>
      <c r="B33" s="106">
        <f t="shared" si="3"/>
        <v>47020</v>
      </c>
      <c r="C33" s="107">
        <f t="shared" si="4"/>
        <v>914677191.39078999</v>
      </c>
      <c r="D33" s="107">
        <f t="shared" si="5"/>
        <v>3278412.8723684228</v>
      </c>
      <c r="E33" s="107">
        <f t="shared" si="6"/>
        <v>4116047.3612585547</v>
      </c>
      <c r="F33" s="107">
        <f t="shared" si="1"/>
        <v>7394460.2336269775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6" x14ac:dyDescent="0.3">
      <c r="A34" s="3">
        <f t="shared" si="2"/>
        <v>23</v>
      </c>
      <c r="B34" s="106">
        <f t="shared" si="3"/>
        <v>47050</v>
      </c>
      <c r="C34" s="107">
        <f t="shared" si="4"/>
        <v>911398778.51842153</v>
      </c>
      <c r="D34" s="107">
        <f t="shared" si="5"/>
        <v>3278412.8723684228</v>
      </c>
      <c r="E34" s="107">
        <f t="shared" si="6"/>
        <v>4101294.5033328966</v>
      </c>
      <c r="F34" s="107">
        <f t="shared" si="1"/>
        <v>7379707.3757013194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6" x14ac:dyDescent="0.3">
      <c r="A35" s="3">
        <f t="shared" si="2"/>
        <v>24</v>
      </c>
      <c r="B35" s="106">
        <f t="shared" si="3"/>
        <v>47081</v>
      </c>
      <c r="C35" s="107">
        <f t="shared" si="4"/>
        <v>908120365.64605308</v>
      </c>
      <c r="D35" s="107">
        <f t="shared" si="5"/>
        <v>3278412.8723684228</v>
      </c>
      <c r="E35" s="107">
        <f t="shared" si="6"/>
        <v>4086541.645407239</v>
      </c>
      <c r="F35" s="107">
        <f t="shared" si="1"/>
        <v>7364954.5177756622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6" x14ac:dyDescent="0.3">
      <c r="A36" s="3">
        <f t="shared" si="2"/>
        <v>25</v>
      </c>
      <c r="B36" s="106">
        <f t="shared" si="3"/>
        <v>47111</v>
      </c>
      <c r="C36" s="107">
        <f t="shared" si="4"/>
        <v>904841952.77368462</v>
      </c>
      <c r="D36" s="107">
        <f t="shared" si="5"/>
        <v>3278412.8723684223</v>
      </c>
      <c r="E36" s="107">
        <f t="shared" si="6"/>
        <v>4071788.7874815804</v>
      </c>
      <c r="F36" s="107">
        <f t="shared" si="1"/>
        <v>7350201.6598500032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6" x14ac:dyDescent="0.3">
      <c r="A37" s="3">
        <f t="shared" si="2"/>
        <v>26</v>
      </c>
      <c r="B37" s="106">
        <f t="shared" si="3"/>
        <v>47142</v>
      </c>
      <c r="C37" s="107">
        <f t="shared" si="4"/>
        <v>970519087.40131617</v>
      </c>
      <c r="D37" s="107">
        <f t="shared" si="5"/>
        <v>3529160.3178229677</v>
      </c>
      <c r="E37" s="107">
        <f t="shared" si="6"/>
        <v>4057035.9295559227</v>
      </c>
      <c r="F37" s="107">
        <f t="shared" si="1"/>
        <v>7586196.2473788904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6" x14ac:dyDescent="0.3">
      <c r="A38" s="3">
        <f t="shared" si="2"/>
        <v>27</v>
      </c>
      <c r="B38" s="106">
        <f t="shared" si="3"/>
        <v>47173</v>
      </c>
      <c r="C38" s="107">
        <f t="shared" si="4"/>
        <v>966989927.08349323</v>
      </c>
      <c r="D38" s="107">
        <f t="shared" si="5"/>
        <v>3529160.3178229681</v>
      </c>
      <c r="E38" s="107">
        <f t="shared" si="6"/>
        <v>4351454.6718757199</v>
      </c>
      <c r="F38" s="107">
        <f t="shared" si="1"/>
        <v>7880614.9896986876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6" x14ac:dyDescent="0.3">
      <c r="A39" s="3">
        <f t="shared" si="2"/>
        <v>28</v>
      </c>
      <c r="B39" s="106">
        <f t="shared" si="3"/>
        <v>47201</v>
      </c>
      <c r="C39" s="107">
        <f t="shared" si="4"/>
        <v>963460766.7656703</v>
      </c>
      <c r="D39" s="107">
        <f t="shared" si="5"/>
        <v>3529160.3178229681</v>
      </c>
      <c r="E39" s="107">
        <f t="shared" si="6"/>
        <v>4335573.450445516</v>
      </c>
      <c r="F39" s="107">
        <f t="shared" si="1"/>
        <v>7864733.7682684846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6" x14ac:dyDescent="0.3">
      <c r="A40" s="3">
        <f t="shared" si="2"/>
        <v>29</v>
      </c>
      <c r="B40" s="106">
        <f t="shared" si="3"/>
        <v>47232</v>
      </c>
      <c r="C40" s="107">
        <f t="shared" si="4"/>
        <v>959931606.44784737</v>
      </c>
      <c r="D40" s="107">
        <f t="shared" si="5"/>
        <v>3529160.3178229681</v>
      </c>
      <c r="E40" s="107">
        <f t="shared" si="6"/>
        <v>4319692.2290153131</v>
      </c>
      <c r="F40" s="107">
        <f t="shared" si="1"/>
        <v>7848852.5468382817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6" x14ac:dyDescent="0.3">
      <c r="A41" s="3">
        <f t="shared" si="2"/>
        <v>30</v>
      </c>
      <c r="B41" s="106">
        <f t="shared" si="3"/>
        <v>47262</v>
      </c>
      <c r="C41" s="107">
        <f t="shared" si="4"/>
        <v>956402446.13002443</v>
      </c>
      <c r="D41" s="107">
        <f t="shared" si="5"/>
        <v>3529160.3178229686</v>
      </c>
      <c r="E41" s="107">
        <f t="shared" si="6"/>
        <v>4303811.0075851101</v>
      </c>
      <c r="F41" s="107">
        <f t="shared" si="1"/>
        <v>7832971.3254080787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6" x14ac:dyDescent="0.3">
      <c r="A42" s="3">
        <f t="shared" si="2"/>
        <v>31</v>
      </c>
      <c r="B42" s="106">
        <f t="shared" si="3"/>
        <v>47293</v>
      </c>
      <c r="C42" s="107">
        <f t="shared" si="4"/>
        <v>952873285.8122015</v>
      </c>
      <c r="D42" s="107">
        <f t="shared" si="5"/>
        <v>3529160.3178229686</v>
      </c>
      <c r="E42" s="107">
        <f t="shared" si="6"/>
        <v>4287929.7861549063</v>
      </c>
      <c r="F42" s="107">
        <f t="shared" si="1"/>
        <v>7817090.1039778749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6" x14ac:dyDescent="0.3">
      <c r="A43" s="3">
        <f t="shared" si="2"/>
        <v>32</v>
      </c>
      <c r="B43" s="106">
        <f t="shared" si="3"/>
        <v>47323</v>
      </c>
      <c r="C43" s="107">
        <f t="shared" si="4"/>
        <v>949344125.49437857</v>
      </c>
      <c r="D43" s="107">
        <f t="shared" si="5"/>
        <v>3529160.3178229686</v>
      </c>
      <c r="E43" s="107">
        <f t="shared" si="6"/>
        <v>4272048.5647247033</v>
      </c>
      <c r="F43" s="107">
        <f t="shared" si="1"/>
        <v>7801208.8825476719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6" x14ac:dyDescent="0.3">
      <c r="A44" s="3">
        <f t="shared" si="2"/>
        <v>33</v>
      </c>
      <c r="B44" s="106">
        <f t="shared" si="3"/>
        <v>47354</v>
      </c>
      <c r="C44" s="107">
        <f t="shared" si="4"/>
        <v>945814965.17655563</v>
      </c>
      <c r="D44" s="107">
        <f t="shared" si="5"/>
        <v>3529160.3178229686</v>
      </c>
      <c r="E44" s="107">
        <f t="shared" si="6"/>
        <v>4256167.3432945004</v>
      </c>
      <c r="F44" s="107">
        <f t="shared" si="1"/>
        <v>7785327.661117469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6" x14ac:dyDescent="0.3">
      <c r="A45" s="3">
        <f t="shared" si="2"/>
        <v>34</v>
      </c>
      <c r="B45" s="106">
        <f t="shared" si="3"/>
        <v>47385</v>
      </c>
      <c r="C45" s="107">
        <f t="shared" si="4"/>
        <v>942285804.8587327</v>
      </c>
      <c r="D45" s="107">
        <f t="shared" si="5"/>
        <v>3529160.3178229691</v>
      </c>
      <c r="E45" s="107">
        <f t="shared" si="6"/>
        <v>4240286.1218642974</v>
      </c>
      <c r="F45" s="107">
        <f t="shared" si="1"/>
        <v>7769446.4396872669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6" x14ac:dyDescent="0.3">
      <c r="A46" s="3">
        <f t="shared" si="2"/>
        <v>35</v>
      </c>
      <c r="B46" s="106">
        <f t="shared" si="3"/>
        <v>47415</v>
      </c>
      <c r="C46" s="107">
        <f t="shared" si="4"/>
        <v>938756644.54090977</v>
      </c>
      <c r="D46" s="107">
        <f t="shared" si="5"/>
        <v>3529160.3178229691</v>
      </c>
      <c r="E46" s="107">
        <f t="shared" si="6"/>
        <v>4224404.9004340945</v>
      </c>
      <c r="F46" s="107">
        <f t="shared" si="1"/>
        <v>7753565.218257064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6" x14ac:dyDescent="0.3">
      <c r="A47" s="3">
        <f t="shared" si="2"/>
        <v>36</v>
      </c>
      <c r="B47" s="106">
        <f t="shared" si="3"/>
        <v>47446</v>
      </c>
      <c r="C47" s="107">
        <f t="shared" si="4"/>
        <v>935227484.22308683</v>
      </c>
      <c r="D47" s="107">
        <f t="shared" si="5"/>
        <v>3529160.3178229691</v>
      </c>
      <c r="E47" s="107">
        <f t="shared" si="6"/>
        <v>4208523.6790038906</v>
      </c>
      <c r="F47" s="107">
        <f t="shared" si="1"/>
        <v>7737683.9968268592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6" x14ac:dyDescent="0.3">
      <c r="A48" s="3">
        <f t="shared" si="2"/>
        <v>37</v>
      </c>
      <c r="B48" s="106">
        <f t="shared" si="3"/>
        <v>47476</v>
      </c>
      <c r="C48" s="107">
        <f t="shared" si="4"/>
        <v>931698323.9052639</v>
      </c>
      <c r="D48" s="107">
        <f t="shared" si="5"/>
        <v>3529160.3178229695</v>
      </c>
      <c r="E48" s="107">
        <f t="shared" si="6"/>
        <v>4192642.4575736877</v>
      </c>
      <c r="F48" s="107">
        <f t="shared" si="1"/>
        <v>7721802.7753966572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6" x14ac:dyDescent="0.3">
      <c r="A49" s="3">
        <f t="shared" si="2"/>
        <v>38</v>
      </c>
      <c r="B49" s="106">
        <f t="shared" si="3"/>
        <v>47507</v>
      </c>
      <c r="C49" s="107">
        <f t="shared" si="4"/>
        <v>928169163.58744097</v>
      </c>
      <c r="D49" s="107">
        <f t="shared" si="5"/>
        <v>3529160.3178229695</v>
      </c>
      <c r="E49" s="107">
        <f t="shared" si="6"/>
        <v>4176761.2361434842</v>
      </c>
      <c r="F49" s="107">
        <f t="shared" si="1"/>
        <v>7705921.5539664533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6" x14ac:dyDescent="0.3">
      <c r="A50" s="3">
        <f t="shared" si="2"/>
        <v>39</v>
      </c>
      <c r="B50" s="106">
        <f t="shared" si="3"/>
        <v>47538</v>
      </c>
      <c r="C50" s="107">
        <f t="shared" si="4"/>
        <v>924640003.26961803</v>
      </c>
      <c r="D50" s="107">
        <f t="shared" si="5"/>
        <v>3529160.3178229695</v>
      </c>
      <c r="E50" s="107">
        <f t="shared" si="6"/>
        <v>4160880.0147132813</v>
      </c>
      <c r="F50" s="107">
        <f t="shared" si="1"/>
        <v>7690040.3325362504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6" x14ac:dyDescent="0.3">
      <c r="A51" s="3">
        <f t="shared" si="2"/>
        <v>40</v>
      </c>
      <c r="B51" s="106">
        <f t="shared" si="3"/>
        <v>47566</v>
      </c>
      <c r="C51" s="107">
        <f t="shared" si="4"/>
        <v>921110842.9517951</v>
      </c>
      <c r="D51" s="107">
        <f t="shared" si="5"/>
        <v>3529160.3178229695</v>
      </c>
      <c r="E51" s="107">
        <f t="shared" si="6"/>
        <v>4144998.7932830784</v>
      </c>
      <c r="F51" s="107">
        <f t="shared" si="1"/>
        <v>7674159.1111060474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6" x14ac:dyDescent="0.3">
      <c r="A52" s="3">
        <f t="shared" si="2"/>
        <v>41</v>
      </c>
      <c r="B52" s="106">
        <f t="shared" si="3"/>
        <v>47597</v>
      </c>
      <c r="C52" s="107">
        <f t="shared" si="4"/>
        <v>917581682.63397217</v>
      </c>
      <c r="D52" s="107">
        <f t="shared" si="5"/>
        <v>3529160.31782297</v>
      </c>
      <c r="E52" s="107">
        <f t="shared" si="6"/>
        <v>4129117.5718528745</v>
      </c>
      <c r="F52" s="107">
        <f t="shared" si="1"/>
        <v>7658277.8896758445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6" x14ac:dyDescent="0.3">
      <c r="A53" s="3">
        <f t="shared" si="2"/>
        <v>42</v>
      </c>
      <c r="B53" s="106">
        <f t="shared" si="3"/>
        <v>47627</v>
      </c>
      <c r="C53" s="107">
        <f t="shared" si="4"/>
        <v>914052522.31614923</v>
      </c>
      <c r="D53" s="107">
        <f t="shared" si="5"/>
        <v>3529160.31782297</v>
      </c>
      <c r="E53" s="107">
        <f t="shared" si="6"/>
        <v>4113236.3504226715</v>
      </c>
      <c r="F53" s="107">
        <f t="shared" si="1"/>
        <v>7642396.6682456415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6" x14ac:dyDescent="0.3">
      <c r="A54" s="3">
        <f t="shared" si="2"/>
        <v>43</v>
      </c>
      <c r="B54" s="106">
        <f t="shared" si="3"/>
        <v>47658</v>
      </c>
      <c r="C54" s="107">
        <f t="shared" si="4"/>
        <v>910523361.9983263</v>
      </c>
      <c r="D54" s="107">
        <f t="shared" si="5"/>
        <v>3529160.31782297</v>
      </c>
      <c r="E54" s="107">
        <f t="shared" si="6"/>
        <v>4097355.1289924681</v>
      </c>
      <c r="F54" s="107">
        <f t="shared" si="1"/>
        <v>7626515.4468154386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6" x14ac:dyDescent="0.3">
      <c r="A55" s="3">
        <f t="shared" si="2"/>
        <v>44</v>
      </c>
      <c r="B55" s="106">
        <f t="shared" si="3"/>
        <v>47688</v>
      </c>
      <c r="C55" s="107">
        <f t="shared" si="4"/>
        <v>906994201.68050337</v>
      </c>
      <c r="D55" s="107">
        <f t="shared" si="5"/>
        <v>3529160.3178229704</v>
      </c>
      <c r="E55" s="107">
        <f t="shared" si="6"/>
        <v>4081473.9075622652</v>
      </c>
      <c r="F55" s="107">
        <f t="shared" si="1"/>
        <v>7610634.2253852356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6" x14ac:dyDescent="0.3">
      <c r="A56" s="3">
        <f t="shared" si="2"/>
        <v>45</v>
      </c>
      <c r="B56" s="106">
        <f t="shared" si="3"/>
        <v>47719</v>
      </c>
      <c r="C56" s="107">
        <f t="shared" si="4"/>
        <v>903465041.36268044</v>
      </c>
      <c r="D56" s="107">
        <f t="shared" si="5"/>
        <v>3529160.3178229704</v>
      </c>
      <c r="E56" s="107">
        <f t="shared" si="6"/>
        <v>4065592.6861320618</v>
      </c>
      <c r="F56" s="107">
        <f t="shared" si="1"/>
        <v>7594753.0039550327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6" x14ac:dyDescent="0.3">
      <c r="A57" s="3">
        <f t="shared" si="2"/>
        <v>46</v>
      </c>
      <c r="B57" s="106">
        <f t="shared" si="3"/>
        <v>47750</v>
      </c>
      <c r="C57" s="107">
        <f t="shared" si="4"/>
        <v>899935881.0448575</v>
      </c>
      <c r="D57" s="107">
        <f t="shared" si="5"/>
        <v>3529160.3178229704</v>
      </c>
      <c r="E57" s="107">
        <f t="shared" si="6"/>
        <v>4049711.4647018588</v>
      </c>
      <c r="F57" s="107">
        <f t="shared" si="1"/>
        <v>7578871.7825248297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6" x14ac:dyDescent="0.3">
      <c r="A58" s="3">
        <f t="shared" si="2"/>
        <v>47</v>
      </c>
      <c r="B58" s="106">
        <f t="shared" si="3"/>
        <v>47780</v>
      </c>
      <c r="C58" s="107">
        <f t="shared" si="4"/>
        <v>896406720.72703457</v>
      </c>
      <c r="D58" s="107">
        <f t="shared" si="5"/>
        <v>3529160.3178229709</v>
      </c>
      <c r="E58" s="107">
        <f t="shared" si="6"/>
        <v>4033830.2432716559</v>
      </c>
      <c r="F58" s="107">
        <f t="shared" si="1"/>
        <v>7562990.5610946268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6" x14ac:dyDescent="0.3">
      <c r="A59" s="3">
        <f t="shared" si="2"/>
        <v>48</v>
      </c>
      <c r="B59" s="106">
        <f t="shared" si="3"/>
        <v>47811</v>
      </c>
      <c r="C59" s="107">
        <f t="shared" si="4"/>
        <v>892877560.40921164</v>
      </c>
      <c r="D59" s="107">
        <f t="shared" si="5"/>
        <v>3529160.3178229709</v>
      </c>
      <c r="E59" s="107">
        <f t="shared" si="6"/>
        <v>4017949.021841452</v>
      </c>
      <c r="F59" s="107">
        <f t="shared" si="1"/>
        <v>7547109.3396644229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6" x14ac:dyDescent="0.3">
      <c r="A60" s="3">
        <f t="shared" si="2"/>
        <v>49</v>
      </c>
      <c r="B60" s="106">
        <f t="shared" si="3"/>
        <v>47841</v>
      </c>
      <c r="C60" s="107">
        <f t="shared" si="4"/>
        <v>889348400.0913887</v>
      </c>
      <c r="D60" s="107">
        <f t="shared" si="5"/>
        <v>3529160.3178229709</v>
      </c>
      <c r="E60" s="107">
        <f t="shared" si="6"/>
        <v>4002067.800411249</v>
      </c>
      <c r="F60" s="107">
        <f t="shared" si="1"/>
        <v>7531228.11823422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6" x14ac:dyDescent="0.3">
      <c r="A61" s="3">
        <f t="shared" si="2"/>
        <v>50</v>
      </c>
      <c r="B61" s="106">
        <f t="shared" si="3"/>
        <v>47872</v>
      </c>
      <c r="C61" s="107">
        <f t="shared" si="4"/>
        <v>885819239.77356577</v>
      </c>
      <c r="D61" s="107">
        <f t="shared" si="5"/>
        <v>3529160.3178229714</v>
      </c>
      <c r="E61" s="107">
        <f t="shared" si="6"/>
        <v>3986186.5789810456</v>
      </c>
      <c r="F61" s="107">
        <f t="shared" si="1"/>
        <v>7515346.896804017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6" x14ac:dyDescent="0.3">
      <c r="A62" s="3">
        <f t="shared" si="2"/>
        <v>51</v>
      </c>
      <c r="B62" s="106">
        <f t="shared" si="3"/>
        <v>47903</v>
      </c>
      <c r="C62" s="107">
        <f t="shared" si="4"/>
        <v>882290079.45574284</v>
      </c>
      <c r="D62" s="107">
        <f t="shared" si="5"/>
        <v>3529160.3178229714</v>
      </c>
      <c r="E62" s="107">
        <f t="shared" si="6"/>
        <v>3970305.3575508427</v>
      </c>
      <c r="F62" s="107">
        <f t="shared" si="1"/>
        <v>7499465.6753738141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6" x14ac:dyDescent="0.3">
      <c r="A63" s="3">
        <f t="shared" si="2"/>
        <v>52</v>
      </c>
      <c r="B63" s="106">
        <f t="shared" si="3"/>
        <v>47931</v>
      </c>
      <c r="C63" s="107">
        <f t="shared" si="4"/>
        <v>878760919.1379199</v>
      </c>
      <c r="D63" s="107">
        <f t="shared" si="5"/>
        <v>3529160.3178229714</v>
      </c>
      <c r="E63" s="107">
        <f t="shared" si="6"/>
        <v>3954424.1361206397</v>
      </c>
      <c r="F63" s="107">
        <f t="shared" si="1"/>
        <v>7483584.4539436111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6" x14ac:dyDescent="0.3">
      <c r="A64" s="3">
        <f t="shared" si="2"/>
        <v>53</v>
      </c>
      <c r="B64" s="106">
        <f t="shared" si="3"/>
        <v>47962</v>
      </c>
      <c r="C64" s="107">
        <f t="shared" si="4"/>
        <v>875231758.82009697</v>
      </c>
      <c r="D64" s="107">
        <f t="shared" si="5"/>
        <v>3529160.3178229718</v>
      </c>
      <c r="E64" s="107">
        <f t="shared" si="6"/>
        <v>3938542.9146904363</v>
      </c>
      <c r="F64" s="107">
        <f t="shared" si="1"/>
        <v>7467703.2325134082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6" x14ac:dyDescent="0.3">
      <c r="A65" s="3">
        <f t="shared" si="2"/>
        <v>54</v>
      </c>
      <c r="B65" s="106">
        <f t="shared" si="3"/>
        <v>47992</v>
      </c>
      <c r="C65" s="107">
        <f t="shared" si="4"/>
        <v>871702598.50227404</v>
      </c>
      <c r="D65" s="107">
        <f t="shared" si="5"/>
        <v>3529160.3178229718</v>
      </c>
      <c r="E65" s="107">
        <f t="shared" si="6"/>
        <v>3922661.6932602334</v>
      </c>
      <c r="F65" s="107">
        <f t="shared" si="1"/>
        <v>7451822.0110832052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6" x14ac:dyDescent="0.3">
      <c r="A66" s="3">
        <f t="shared" si="2"/>
        <v>55</v>
      </c>
      <c r="B66" s="106">
        <f t="shared" si="3"/>
        <v>48023</v>
      </c>
      <c r="C66" s="107">
        <f t="shared" si="4"/>
        <v>868173438.1844511</v>
      </c>
      <c r="D66" s="107">
        <f t="shared" si="5"/>
        <v>3529160.3178229718</v>
      </c>
      <c r="E66" s="107">
        <f t="shared" si="6"/>
        <v>3906780.4718300295</v>
      </c>
      <c r="F66" s="107">
        <f t="shared" si="1"/>
        <v>7435940.7896530014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6" x14ac:dyDescent="0.3">
      <c r="A67" s="3">
        <f t="shared" si="2"/>
        <v>56</v>
      </c>
      <c r="B67" s="106">
        <f t="shared" si="3"/>
        <v>48053</v>
      </c>
      <c r="C67" s="107">
        <f t="shared" si="4"/>
        <v>864644277.86662817</v>
      </c>
      <c r="D67" s="107">
        <f t="shared" si="5"/>
        <v>3529160.3178229723</v>
      </c>
      <c r="E67" s="107">
        <f t="shared" si="6"/>
        <v>3890899.2503998266</v>
      </c>
      <c r="F67" s="107">
        <f t="shared" si="1"/>
        <v>7420059.5682227984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6" x14ac:dyDescent="0.3">
      <c r="A68" s="3">
        <f t="shared" si="2"/>
        <v>57</v>
      </c>
      <c r="B68" s="106">
        <f t="shared" si="3"/>
        <v>48084</v>
      </c>
      <c r="C68" s="107">
        <f t="shared" si="4"/>
        <v>861115117.54880524</v>
      </c>
      <c r="D68" s="107">
        <f t="shared" si="5"/>
        <v>3529160.3178229723</v>
      </c>
      <c r="E68" s="107">
        <f t="shared" si="6"/>
        <v>3875018.0289696236</v>
      </c>
      <c r="F68" s="107">
        <f t="shared" si="1"/>
        <v>7404178.3467925955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6" x14ac:dyDescent="0.3">
      <c r="A69" s="3">
        <f t="shared" si="2"/>
        <v>58</v>
      </c>
      <c r="B69" s="106">
        <f t="shared" si="3"/>
        <v>48115</v>
      </c>
      <c r="C69" s="107">
        <f t="shared" si="4"/>
        <v>857585957.2309823</v>
      </c>
      <c r="D69" s="107">
        <f t="shared" si="5"/>
        <v>3529160.3178229723</v>
      </c>
      <c r="E69" s="107">
        <f t="shared" si="6"/>
        <v>3859136.8075394202</v>
      </c>
      <c r="F69" s="107">
        <f t="shared" si="1"/>
        <v>7388297.1253623925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6" x14ac:dyDescent="0.3">
      <c r="A70" s="3">
        <f t="shared" si="2"/>
        <v>59</v>
      </c>
      <c r="B70" s="106">
        <f t="shared" si="3"/>
        <v>48145</v>
      </c>
      <c r="C70" s="107">
        <f t="shared" si="4"/>
        <v>854056796.91315937</v>
      </c>
      <c r="D70" s="107">
        <f t="shared" si="5"/>
        <v>3529160.3178229728</v>
      </c>
      <c r="E70" s="107">
        <f t="shared" si="6"/>
        <v>3843255.5861092173</v>
      </c>
      <c r="F70" s="107">
        <f t="shared" si="1"/>
        <v>7372415.9039321896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6" x14ac:dyDescent="0.3">
      <c r="A71" s="3">
        <f t="shared" si="2"/>
        <v>60</v>
      </c>
      <c r="B71" s="106">
        <f t="shared" si="3"/>
        <v>48176</v>
      </c>
      <c r="C71" s="107">
        <f t="shared" si="4"/>
        <v>850527636.59533644</v>
      </c>
      <c r="D71" s="107">
        <f t="shared" si="5"/>
        <v>3529160.3178229728</v>
      </c>
      <c r="E71" s="107">
        <f t="shared" si="6"/>
        <v>3827374.3646790138</v>
      </c>
      <c r="F71" s="107">
        <f t="shared" si="1"/>
        <v>7356534.6825019866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6" x14ac:dyDescent="0.3">
      <c r="A72" s="3">
        <f t="shared" si="2"/>
        <v>61</v>
      </c>
      <c r="B72" s="106">
        <f t="shared" si="3"/>
        <v>48206</v>
      </c>
      <c r="C72" s="107">
        <f t="shared" si="4"/>
        <v>846998476.2775135</v>
      </c>
      <c r="D72" s="107">
        <f t="shared" si="5"/>
        <v>3529160.3178229728</v>
      </c>
      <c r="E72" s="107">
        <f t="shared" si="6"/>
        <v>3811493.1432488109</v>
      </c>
      <c r="F72" s="107">
        <f t="shared" si="1"/>
        <v>7340653.4610717837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6" x14ac:dyDescent="0.3">
      <c r="A73" s="3">
        <f t="shared" si="2"/>
        <v>62</v>
      </c>
      <c r="B73" s="106">
        <f t="shared" si="3"/>
        <v>48237</v>
      </c>
      <c r="C73" s="107">
        <f t="shared" si="4"/>
        <v>843469315.95969057</v>
      </c>
      <c r="D73" s="107">
        <f t="shared" si="5"/>
        <v>3529160.3178229732</v>
      </c>
      <c r="E73" s="107">
        <f t="shared" si="6"/>
        <v>3795611.921818608</v>
      </c>
      <c r="F73" s="107">
        <f t="shared" si="1"/>
        <v>7324772.2396415807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6" x14ac:dyDescent="0.3">
      <c r="A74" s="3">
        <f t="shared" si="2"/>
        <v>63</v>
      </c>
      <c r="B74" s="106">
        <f t="shared" si="3"/>
        <v>48268</v>
      </c>
      <c r="C74" s="107">
        <f t="shared" si="4"/>
        <v>839940155.64186764</v>
      </c>
      <c r="D74" s="107">
        <f t="shared" si="5"/>
        <v>3529160.3178229732</v>
      </c>
      <c r="E74" s="107">
        <f t="shared" si="6"/>
        <v>3779730.7003884041</v>
      </c>
      <c r="F74" s="107">
        <f t="shared" si="1"/>
        <v>7308891.0182113778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6" x14ac:dyDescent="0.3">
      <c r="A75" s="3">
        <f t="shared" si="2"/>
        <v>64</v>
      </c>
      <c r="B75" s="106">
        <f t="shared" si="3"/>
        <v>48297</v>
      </c>
      <c r="C75" s="107">
        <f t="shared" si="4"/>
        <v>836410995.3240447</v>
      </c>
      <c r="D75" s="107">
        <f t="shared" si="5"/>
        <v>3529160.3178229732</v>
      </c>
      <c r="E75" s="107">
        <f t="shared" si="6"/>
        <v>3763849.4789582011</v>
      </c>
      <c r="F75" s="107">
        <f t="shared" si="1"/>
        <v>7293009.7967811748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6" x14ac:dyDescent="0.3">
      <c r="A76" s="3">
        <f t="shared" si="2"/>
        <v>65</v>
      </c>
      <c r="B76" s="106">
        <f t="shared" si="3"/>
        <v>48328</v>
      </c>
      <c r="C76" s="107">
        <f t="shared" si="4"/>
        <v>832881835.00622177</v>
      </c>
      <c r="D76" s="107">
        <f t="shared" si="5"/>
        <v>3529160.3178229737</v>
      </c>
      <c r="E76" s="107">
        <f t="shared" si="6"/>
        <v>3747968.2575279977</v>
      </c>
      <c r="F76" s="107">
        <f t="shared" si="1"/>
        <v>7277128.5753509719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6" x14ac:dyDescent="0.3">
      <c r="A77" s="3">
        <f t="shared" si="2"/>
        <v>66</v>
      </c>
      <c r="B77" s="106">
        <f t="shared" si="3"/>
        <v>48358</v>
      </c>
      <c r="C77" s="107">
        <f t="shared" si="4"/>
        <v>829352674.68839884</v>
      </c>
      <c r="D77" s="107">
        <f t="shared" si="5"/>
        <v>3529160.3178229737</v>
      </c>
      <c r="E77" s="107">
        <f t="shared" si="6"/>
        <v>3732087.0360977948</v>
      </c>
      <c r="F77" s="107">
        <f t="shared" si="1"/>
        <v>7261247.3539207689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6" x14ac:dyDescent="0.3">
      <c r="A78" s="3">
        <f t="shared" si="2"/>
        <v>67</v>
      </c>
      <c r="B78" s="106">
        <f t="shared" si="3"/>
        <v>48389</v>
      </c>
      <c r="C78" s="107">
        <f t="shared" si="4"/>
        <v>825823514.3705759</v>
      </c>
      <c r="D78" s="107">
        <f t="shared" si="5"/>
        <v>3529160.3178229742</v>
      </c>
      <c r="E78" s="107">
        <f t="shared" si="6"/>
        <v>3716205.8146675918</v>
      </c>
      <c r="F78" s="107">
        <f t="shared" si="1"/>
        <v>7245366.132490566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6" x14ac:dyDescent="0.3">
      <c r="A79" s="3">
        <f t="shared" si="2"/>
        <v>68</v>
      </c>
      <c r="B79" s="106">
        <f t="shared" si="3"/>
        <v>48419</v>
      </c>
      <c r="C79" s="107">
        <f t="shared" si="4"/>
        <v>822294354.05275297</v>
      </c>
      <c r="D79" s="107">
        <f t="shared" si="5"/>
        <v>3529160.3178229742</v>
      </c>
      <c r="E79" s="107">
        <f t="shared" si="6"/>
        <v>3700324.5932373884</v>
      </c>
      <c r="F79" s="107">
        <f t="shared" si="1"/>
        <v>7229484.9110603631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6" x14ac:dyDescent="0.3">
      <c r="A80" s="3">
        <f t="shared" si="2"/>
        <v>69</v>
      </c>
      <c r="B80" s="106">
        <f t="shared" si="3"/>
        <v>48450</v>
      </c>
      <c r="C80" s="107">
        <f t="shared" si="4"/>
        <v>818765193.73493004</v>
      </c>
      <c r="D80" s="107">
        <f t="shared" si="5"/>
        <v>3529160.3178229742</v>
      </c>
      <c r="E80" s="107">
        <f t="shared" si="6"/>
        <v>3684443.3718071855</v>
      </c>
      <c r="F80" s="107">
        <f t="shared" si="1"/>
        <v>7213603.6896301601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6" x14ac:dyDescent="0.3">
      <c r="A81" s="3">
        <f t="shared" si="2"/>
        <v>70</v>
      </c>
      <c r="B81" s="106">
        <f t="shared" si="3"/>
        <v>48481</v>
      </c>
      <c r="C81" s="107">
        <f t="shared" si="4"/>
        <v>815236033.41710711</v>
      </c>
      <c r="D81" s="107">
        <f t="shared" si="5"/>
        <v>3529160.3178229746</v>
      </c>
      <c r="E81" s="107">
        <f t="shared" si="6"/>
        <v>3668562.1503769816</v>
      </c>
      <c r="F81" s="107">
        <f t="shared" si="1"/>
        <v>7197722.4681999562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6" x14ac:dyDescent="0.3">
      <c r="A82" s="3">
        <f t="shared" si="2"/>
        <v>71</v>
      </c>
      <c r="B82" s="106">
        <f t="shared" si="3"/>
        <v>48511</v>
      </c>
      <c r="C82" s="107">
        <f t="shared" si="4"/>
        <v>811706873.09928417</v>
      </c>
      <c r="D82" s="107">
        <f t="shared" si="5"/>
        <v>3529160.3178229746</v>
      </c>
      <c r="E82" s="107">
        <f t="shared" si="6"/>
        <v>3652680.9289467786</v>
      </c>
      <c r="F82" s="107">
        <f t="shared" si="1"/>
        <v>7181841.2467697533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6" x14ac:dyDescent="0.3">
      <c r="A83" s="3">
        <f t="shared" si="2"/>
        <v>72</v>
      </c>
      <c r="B83" s="106">
        <f t="shared" si="3"/>
        <v>48542</v>
      </c>
      <c r="C83" s="107">
        <f t="shared" si="4"/>
        <v>808177712.78146124</v>
      </c>
      <c r="D83" s="107">
        <f t="shared" si="5"/>
        <v>3529160.3178229746</v>
      </c>
      <c r="E83" s="107">
        <f t="shared" si="6"/>
        <v>3636799.7075165752</v>
      </c>
      <c r="F83" s="107">
        <f t="shared" si="1"/>
        <v>7165960.0253395494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6" x14ac:dyDescent="0.3">
      <c r="A84" s="3">
        <f t="shared" si="2"/>
        <v>73</v>
      </c>
      <c r="B84" s="106">
        <f t="shared" si="3"/>
        <v>48572</v>
      </c>
      <c r="C84" s="107">
        <f t="shared" si="4"/>
        <v>804648552.46363831</v>
      </c>
      <c r="D84" s="107">
        <f t="shared" si="5"/>
        <v>3529160.3178229751</v>
      </c>
      <c r="E84" s="107">
        <f t="shared" si="6"/>
        <v>3620918.4860863723</v>
      </c>
      <c r="F84" s="107">
        <f t="shared" si="1"/>
        <v>7150078.8039093474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6" x14ac:dyDescent="0.3">
      <c r="A85" s="3">
        <f t="shared" si="2"/>
        <v>74</v>
      </c>
      <c r="B85" s="106">
        <f t="shared" si="3"/>
        <v>48603</v>
      </c>
      <c r="C85" s="107">
        <f t="shared" si="4"/>
        <v>801119392.14581537</v>
      </c>
      <c r="D85" s="107">
        <f t="shared" si="5"/>
        <v>3529160.3178229751</v>
      </c>
      <c r="E85" s="107">
        <f t="shared" si="6"/>
        <v>3605037.2646561693</v>
      </c>
      <c r="F85" s="107">
        <f t="shared" si="1"/>
        <v>7134197.5824791444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6" x14ac:dyDescent="0.3">
      <c r="A86" s="3">
        <f t="shared" si="2"/>
        <v>75</v>
      </c>
      <c r="B86" s="106">
        <f t="shared" si="3"/>
        <v>48634</v>
      </c>
      <c r="C86" s="107">
        <f t="shared" si="4"/>
        <v>797590231.82799244</v>
      </c>
      <c r="D86" s="107">
        <f t="shared" si="5"/>
        <v>3529160.3178229756</v>
      </c>
      <c r="E86" s="107">
        <f t="shared" si="6"/>
        <v>3589156.0432259659</v>
      </c>
      <c r="F86" s="107">
        <f t="shared" si="1"/>
        <v>7118316.3610489415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6" x14ac:dyDescent="0.3">
      <c r="A87" s="3">
        <f t="shared" si="2"/>
        <v>76</v>
      </c>
      <c r="B87" s="106">
        <f t="shared" si="3"/>
        <v>48662</v>
      </c>
      <c r="C87" s="107">
        <f t="shared" si="4"/>
        <v>794061071.51016951</v>
      </c>
      <c r="D87" s="107">
        <f t="shared" si="5"/>
        <v>3529160.3178229756</v>
      </c>
      <c r="E87" s="107">
        <f t="shared" si="6"/>
        <v>3573274.821795763</v>
      </c>
      <c r="F87" s="107">
        <f t="shared" si="1"/>
        <v>7102435.1396187386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6" x14ac:dyDescent="0.3">
      <c r="A88" s="3">
        <f t="shared" si="2"/>
        <v>77</v>
      </c>
      <c r="B88" s="106">
        <f t="shared" si="3"/>
        <v>48693</v>
      </c>
      <c r="C88" s="107">
        <f t="shared" si="4"/>
        <v>790531911.19234657</v>
      </c>
      <c r="D88" s="107">
        <f t="shared" si="5"/>
        <v>3529160.3178229756</v>
      </c>
      <c r="E88" s="107">
        <f t="shared" si="6"/>
        <v>3557393.6003655591</v>
      </c>
      <c r="F88" s="107">
        <f t="shared" si="1"/>
        <v>7086553.9181885347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6" x14ac:dyDescent="0.3">
      <c r="A89" s="3">
        <f t="shared" si="2"/>
        <v>78</v>
      </c>
      <c r="B89" s="106">
        <f t="shared" si="3"/>
        <v>48723</v>
      </c>
      <c r="C89" s="107">
        <f t="shared" si="4"/>
        <v>787002750.87452364</v>
      </c>
      <c r="D89" s="107">
        <f t="shared" si="5"/>
        <v>3529160.317822976</v>
      </c>
      <c r="E89" s="107">
        <f t="shared" si="6"/>
        <v>3541512.3789353562</v>
      </c>
      <c r="F89" s="107">
        <f t="shared" si="1"/>
        <v>7070672.6967583317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6" x14ac:dyDescent="0.3">
      <c r="A90" s="3">
        <f t="shared" si="2"/>
        <v>79</v>
      </c>
      <c r="B90" s="106">
        <f t="shared" si="3"/>
        <v>48754</v>
      </c>
      <c r="C90" s="107">
        <f t="shared" si="4"/>
        <v>783473590.55670071</v>
      </c>
      <c r="D90" s="107">
        <f t="shared" si="5"/>
        <v>3529160.317822976</v>
      </c>
      <c r="E90" s="107">
        <f t="shared" si="6"/>
        <v>3525631.1575051532</v>
      </c>
      <c r="F90" s="107">
        <f t="shared" si="1"/>
        <v>7054791.4753281288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6" x14ac:dyDescent="0.3">
      <c r="A91" s="3">
        <f t="shared" si="2"/>
        <v>80</v>
      </c>
      <c r="B91" s="106">
        <f t="shared" si="3"/>
        <v>48784</v>
      </c>
      <c r="C91" s="107">
        <f t="shared" si="4"/>
        <v>779944430.23887777</v>
      </c>
      <c r="D91" s="107">
        <f t="shared" si="5"/>
        <v>3529160.3178229765</v>
      </c>
      <c r="E91" s="107">
        <f t="shared" si="6"/>
        <v>3509749.9360749498</v>
      </c>
      <c r="F91" s="107">
        <f t="shared" si="1"/>
        <v>7038910.2538979258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6" x14ac:dyDescent="0.3">
      <c r="A92" s="3">
        <f t="shared" si="2"/>
        <v>81</v>
      </c>
      <c r="B92" s="106">
        <f t="shared" si="3"/>
        <v>48815</v>
      </c>
      <c r="C92" s="107">
        <f t="shared" si="4"/>
        <v>776415269.92105484</v>
      </c>
      <c r="D92" s="107">
        <f t="shared" si="5"/>
        <v>3529160.3178229765</v>
      </c>
      <c r="E92" s="107">
        <f t="shared" si="6"/>
        <v>3493868.7146447469</v>
      </c>
      <c r="F92" s="107">
        <f t="shared" si="1"/>
        <v>7023029.0324677229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6" x14ac:dyDescent="0.3">
      <c r="A93" s="3">
        <f t="shared" si="2"/>
        <v>82</v>
      </c>
      <c r="B93" s="106">
        <f t="shared" si="3"/>
        <v>48846</v>
      </c>
      <c r="C93" s="107">
        <f t="shared" si="4"/>
        <v>772886109.60323191</v>
      </c>
      <c r="D93" s="107">
        <f t="shared" si="5"/>
        <v>3529160.317822977</v>
      </c>
      <c r="E93" s="107">
        <f t="shared" si="6"/>
        <v>3477987.4932145434</v>
      </c>
      <c r="F93" s="107">
        <f t="shared" si="1"/>
        <v>7007147.8110375199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6" x14ac:dyDescent="0.3">
      <c r="A94" s="3">
        <f t="shared" si="2"/>
        <v>83</v>
      </c>
      <c r="B94" s="106">
        <f t="shared" si="3"/>
        <v>48876</v>
      </c>
      <c r="C94" s="107">
        <f t="shared" si="4"/>
        <v>769356949.28540897</v>
      </c>
      <c r="D94" s="107">
        <f t="shared" si="5"/>
        <v>3529160.317822977</v>
      </c>
      <c r="E94" s="107">
        <f t="shared" si="6"/>
        <v>3462106.2717843405</v>
      </c>
      <c r="F94" s="107">
        <f t="shared" si="1"/>
        <v>6991266.589607317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6" x14ac:dyDescent="0.3">
      <c r="A95" s="3">
        <f t="shared" si="2"/>
        <v>84</v>
      </c>
      <c r="B95" s="106">
        <f t="shared" si="3"/>
        <v>48907</v>
      </c>
      <c r="C95" s="107">
        <f t="shared" si="4"/>
        <v>765827788.96758604</v>
      </c>
      <c r="D95" s="107">
        <f t="shared" si="5"/>
        <v>3529160.317822977</v>
      </c>
      <c r="E95" s="107">
        <f t="shared" si="6"/>
        <v>3446225.0503541376</v>
      </c>
      <c r="F95" s="107">
        <f t="shared" si="1"/>
        <v>6975385.3681771141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6" x14ac:dyDescent="0.3">
      <c r="A96" s="3">
        <f t="shared" si="2"/>
        <v>85</v>
      </c>
      <c r="B96" s="106">
        <f t="shared" si="3"/>
        <v>48937</v>
      </c>
      <c r="C96" s="107">
        <f t="shared" si="4"/>
        <v>762298628.64976311</v>
      </c>
      <c r="D96" s="107">
        <f t="shared" si="5"/>
        <v>3529160.3178229774</v>
      </c>
      <c r="E96" s="107">
        <f t="shared" si="6"/>
        <v>3430343.8289239337</v>
      </c>
      <c r="F96" s="107">
        <f t="shared" si="1"/>
        <v>6959504.1467469111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6" x14ac:dyDescent="0.3">
      <c r="A97" s="3">
        <f t="shared" si="2"/>
        <v>86</v>
      </c>
      <c r="B97" s="106">
        <f t="shared" si="3"/>
        <v>48968</v>
      </c>
      <c r="C97" s="107">
        <f t="shared" si="4"/>
        <v>758769468.33194017</v>
      </c>
      <c r="D97" s="107">
        <f t="shared" si="5"/>
        <v>3529160.3178229774</v>
      </c>
      <c r="E97" s="107">
        <f t="shared" si="6"/>
        <v>3414462.6074937307</v>
      </c>
      <c r="F97" s="107">
        <f t="shared" si="1"/>
        <v>6943622.9253167082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6" x14ac:dyDescent="0.3">
      <c r="A98" s="3">
        <f t="shared" si="2"/>
        <v>87</v>
      </c>
      <c r="B98" s="106">
        <f t="shared" si="3"/>
        <v>48999</v>
      </c>
      <c r="C98" s="107">
        <f t="shared" si="4"/>
        <v>755240308.01411724</v>
      </c>
      <c r="D98" s="107">
        <f t="shared" si="5"/>
        <v>3529160.3178229779</v>
      </c>
      <c r="E98" s="107">
        <f t="shared" si="6"/>
        <v>3398581.3860635273</v>
      </c>
      <c r="F98" s="107">
        <f t="shared" si="1"/>
        <v>6927741.7038865052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6" x14ac:dyDescent="0.3">
      <c r="A99" s="3">
        <f t="shared" si="2"/>
        <v>88</v>
      </c>
      <c r="B99" s="106">
        <f t="shared" si="3"/>
        <v>49027</v>
      </c>
      <c r="C99" s="107">
        <f t="shared" si="4"/>
        <v>751711147.69629431</v>
      </c>
      <c r="D99" s="107">
        <f t="shared" si="5"/>
        <v>3529160.3178229779</v>
      </c>
      <c r="E99" s="107">
        <f t="shared" si="6"/>
        <v>3382700.1646333244</v>
      </c>
      <c r="F99" s="107">
        <f t="shared" si="1"/>
        <v>6911860.4824563023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6" x14ac:dyDescent="0.3">
      <c r="A100" s="3">
        <f t="shared" si="2"/>
        <v>89</v>
      </c>
      <c r="B100" s="106">
        <f t="shared" si="3"/>
        <v>49058</v>
      </c>
      <c r="C100" s="107">
        <f t="shared" si="4"/>
        <v>748181987.37847137</v>
      </c>
      <c r="D100" s="107">
        <f t="shared" si="5"/>
        <v>3529160.3178229784</v>
      </c>
      <c r="E100" s="107">
        <f t="shared" si="6"/>
        <v>3366818.9432031214</v>
      </c>
      <c r="F100" s="107">
        <f t="shared" si="1"/>
        <v>6895979.2610260993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6" x14ac:dyDescent="0.3">
      <c r="A101" s="3">
        <f t="shared" si="2"/>
        <v>90</v>
      </c>
      <c r="B101" s="106">
        <f t="shared" si="3"/>
        <v>49088</v>
      </c>
      <c r="C101" s="107">
        <f t="shared" si="4"/>
        <v>744652827.06064844</v>
      </c>
      <c r="D101" s="107">
        <f t="shared" si="5"/>
        <v>3529160.3178229784</v>
      </c>
      <c r="E101" s="107">
        <f t="shared" si="6"/>
        <v>3350937.721772918</v>
      </c>
      <c r="F101" s="107">
        <f t="shared" si="1"/>
        <v>6880098.0395958964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6" x14ac:dyDescent="0.3">
      <c r="A102" s="3">
        <f t="shared" si="2"/>
        <v>91</v>
      </c>
      <c r="B102" s="106">
        <f t="shared" si="3"/>
        <v>49119</v>
      </c>
      <c r="C102" s="107">
        <f t="shared" si="4"/>
        <v>741123666.74282551</v>
      </c>
      <c r="D102" s="107">
        <f t="shared" si="5"/>
        <v>3529160.3178229788</v>
      </c>
      <c r="E102" s="107">
        <f t="shared" si="6"/>
        <v>3335056.5003427151</v>
      </c>
      <c r="F102" s="107">
        <f t="shared" si="1"/>
        <v>6864216.8181656934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6" x14ac:dyDescent="0.3">
      <c r="A103" s="3">
        <f t="shared" si="2"/>
        <v>92</v>
      </c>
      <c r="B103" s="106">
        <f t="shared" si="3"/>
        <v>49149</v>
      </c>
      <c r="C103" s="107">
        <f t="shared" si="4"/>
        <v>737594506.42500257</v>
      </c>
      <c r="D103" s="107">
        <f t="shared" si="5"/>
        <v>3529160.3178229788</v>
      </c>
      <c r="E103" s="107">
        <f t="shared" si="6"/>
        <v>3319175.2789125112</v>
      </c>
      <c r="F103" s="107">
        <f t="shared" si="1"/>
        <v>6848335.5967354905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6" x14ac:dyDescent="0.3">
      <c r="A104" s="3">
        <f t="shared" si="2"/>
        <v>93</v>
      </c>
      <c r="B104" s="106">
        <f t="shared" si="3"/>
        <v>49180</v>
      </c>
      <c r="C104" s="107">
        <f t="shared" si="4"/>
        <v>734065346.10717964</v>
      </c>
      <c r="D104" s="107">
        <f t="shared" si="5"/>
        <v>3529160.3178229788</v>
      </c>
      <c r="E104" s="107">
        <f t="shared" si="6"/>
        <v>3303294.0574823082</v>
      </c>
      <c r="F104" s="107">
        <f t="shared" si="1"/>
        <v>6832454.3753052875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6" x14ac:dyDescent="0.3">
      <c r="A105" s="3">
        <f t="shared" si="2"/>
        <v>94</v>
      </c>
      <c r="B105" s="106">
        <f t="shared" si="3"/>
        <v>49211</v>
      </c>
      <c r="C105" s="107">
        <f t="shared" si="4"/>
        <v>730536185.78935671</v>
      </c>
      <c r="D105" s="107">
        <f t="shared" si="5"/>
        <v>3529160.3178229793</v>
      </c>
      <c r="E105" s="107">
        <f t="shared" si="6"/>
        <v>3287412.8360521053</v>
      </c>
      <c r="F105" s="107">
        <f t="shared" si="1"/>
        <v>6816573.1538750846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6" x14ac:dyDescent="0.3">
      <c r="A106" s="3">
        <f t="shared" si="2"/>
        <v>95</v>
      </c>
      <c r="B106" s="106">
        <f t="shared" si="3"/>
        <v>49241</v>
      </c>
      <c r="C106" s="107">
        <f t="shared" si="4"/>
        <v>727007025.47153378</v>
      </c>
      <c r="D106" s="107">
        <f t="shared" si="5"/>
        <v>3529160.3178229793</v>
      </c>
      <c r="E106" s="107">
        <f t="shared" si="6"/>
        <v>3271531.6146219019</v>
      </c>
      <c r="F106" s="107">
        <f t="shared" si="1"/>
        <v>6800691.9324448816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6" x14ac:dyDescent="0.3">
      <c r="A107" s="3">
        <f t="shared" si="2"/>
        <v>96</v>
      </c>
      <c r="B107" s="106">
        <f t="shared" si="3"/>
        <v>49272</v>
      </c>
      <c r="C107" s="107">
        <f t="shared" si="4"/>
        <v>723477865.15371084</v>
      </c>
      <c r="D107" s="107">
        <f t="shared" si="5"/>
        <v>3529160.3178229798</v>
      </c>
      <c r="E107" s="107">
        <f t="shared" si="6"/>
        <v>3255650.3931916989</v>
      </c>
      <c r="F107" s="107">
        <f t="shared" si="1"/>
        <v>6784810.7110146787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6" x14ac:dyDescent="0.3">
      <c r="A108" s="3">
        <f t="shared" si="2"/>
        <v>97</v>
      </c>
      <c r="B108" s="106">
        <f t="shared" si="3"/>
        <v>49302</v>
      </c>
      <c r="C108" s="107">
        <f t="shared" si="4"/>
        <v>719948704.83588791</v>
      </c>
      <c r="D108" s="107">
        <f t="shared" si="5"/>
        <v>3529160.3178229798</v>
      </c>
      <c r="E108" s="107">
        <f t="shared" si="6"/>
        <v>3239769.1717614955</v>
      </c>
      <c r="F108" s="107">
        <f t="shared" si="1"/>
        <v>6768929.4895844758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6" x14ac:dyDescent="0.3">
      <c r="A109" s="3">
        <f t="shared" si="2"/>
        <v>98</v>
      </c>
      <c r="B109" s="106">
        <f t="shared" si="3"/>
        <v>49333</v>
      </c>
      <c r="C109" s="107">
        <f t="shared" si="4"/>
        <v>716419544.51806498</v>
      </c>
      <c r="D109" s="107">
        <f t="shared" si="5"/>
        <v>3529160.3178229802</v>
      </c>
      <c r="E109" s="107">
        <f t="shared" si="6"/>
        <v>3223887.9503312926</v>
      </c>
      <c r="F109" s="107">
        <f t="shared" si="1"/>
        <v>6753048.2681542728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6" x14ac:dyDescent="0.3">
      <c r="A110" s="3">
        <f t="shared" si="2"/>
        <v>99</v>
      </c>
      <c r="B110" s="106">
        <f t="shared" si="3"/>
        <v>49364</v>
      </c>
      <c r="C110" s="107">
        <f t="shared" si="4"/>
        <v>712890384.20024204</v>
      </c>
      <c r="D110" s="107">
        <f t="shared" si="5"/>
        <v>3529160.3178229802</v>
      </c>
      <c r="E110" s="107">
        <f t="shared" si="6"/>
        <v>3208006.7289010887</v>
      </c>
      <c r="F110" s="107">
        <f t="shared" si="1"/>
        <v>6737167.0467240689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6" x14ac:dyDescent="0.3">
      <c r="A111" s="3">
        <f t="shared" si="2"/>
        <v>100</v>
      </c>
      <c r="B111" s="106">
        <f t="shared" si="3"/>
        <v>49392</v>
      </c>
      <c r="C111" s="107">
        <f t="shared" si="4"/>
        <v>709361223.88241911</v>
      </c>
      <c r="D111" s="107">
        <f t="shared" si="5"/>
        <v>3529160.3178229807</v>
      </c>
      <c r="E111" s="107">
        <f t="shared" si="6"/>
        <v>3192125.5074708858</v>
      </c>
      <c r="F111" s="107">
        <f t="shared" si="1"/>
        <v>6721285.8252938669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6" x14ac:dyDescent="0.3">
      <c r="A112" s="3">
        <f t="shared" si="2"/>
        <v>101</v>
      </c>
      <c r="B112" s="106">
        <f t="shared" si="3"/>
        <v>49423</v>
      </c>
      <c r="C112" s="107">
        <f t="shared" si="4"/>
        <v>705832063.56459618</v>
      </c>
      <c r="D112" s="107">
        <f t="shared" si="5"/>
        <v>3529160.3178229807</v>
      </c>
      <c r="E112" s="107">
        <f t="shared" si="6"/>
        <v>3176244.2860406828</v>
      </c>
      <c r="F112" s="107">
        <f t="shared" si="1"/>
        <v>6705404.603863664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6" x14ac:dyDescent="0.3">
      <c r="A113" s="3">
        <f t="shared" si="2"/>
        <v>102</v>
      </c>
      <c r="B113" s="106">
        <f t="shared" si="3"/>
        <v>49453</v>
      </c>
      <c r="C113" s="107">
        <f t="shared" si="4"/>
        <v>702302903.24677324</v>
      </c>
      <c r="D113" s="107">
        <f t="shared" si="5"/>
        <v>3529160.3178229812</v>
      </c>
      <c r="E113" s="107">
        <f t="shared" si="6"/>
        <v>3160363.0646104794</v>
      </c>
      <c r="F113" s="107">
        <f t="shared" si="1"/>
        <v>6689523.382433461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6" x14ac:dyDescent="0.3">
      <c r="A114" s="3">
        <f t="shared" si="2"/>
        <v>103</v>
      </c>
      <c r="B114" s="106">
        <f t="shared" si="3"/>
        <v>49484</v>
      </c>
      <c r="C114" s="107">
        <f t="shared" si="4"/>
        <v>698773742.92895031</v>
      </c>
      <c r="D114" s="107">
        <f t="shared" si="5"/>
        <v>3529160.3178229812</v>
      </c>
      <c r="E114" s="107">
        <f t="shared" si="6"/>
        <v>3144481.8431802765</v>
      </c>
      <c r="F114" s="107">
        <f t="shared" si="1"/>
        <v>6673642.1610032581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6" x14ac:dyDescent="0.3">
      <c r="A115" s="3">
        <f t="shared" si="2"/>
        <v>104</v>
      </c>
      <c r="B115" s="106">
        <f t="shared" si="3"/>
        <v>49514</v>
      </c>
      <c r="C115" s="107">
        <f t="shared" si="4"/>
        <v>695244582.61112738</v>
      </c>
      <c r="D115" s="107">
        <f t="shared" si="5"/>
        <v>3529160.3178229816</v>
      </c>
      <c r="E115" s="107">
        <f t="shared" si="6"/>
        <v>3128600.621750073</v>
      </c>
      <c r="F115" s="107">
        <f t="shared" si="1"/>
        <v>6657760.9395730551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6" x14ac:dyDescent="0.3">
      <c r="A116" s="3">
        <f t="shared" si="2"/>
        <v>105</v>
      </c>
      <c r="B116" s="106">
        <f t="shared" si="3"/>
        <v>49545</v>
      </c>
      <c r="C116" s="107">
        <f t="shared" si="4"/>
        <v>691715422.29330444</v>
      </c>
      <c r="D116" s="107">
        <f t="shared" si="5"/>
        <v>3529160.3178229816</v>
      </c>
      <c r="E116" s="107">
        <f t="shared" si="6"/>
        <v>3112719.4003198701</v>
      </c>
      <c r="F116" s="107">
        <f t="shared" si="1"/>
        <v>6641879.7181428522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6" x14ac:dyDescent="0.3">
      <c r="A117" s="3">
        <f t="shared" si="2"/>
        <v>106</v>
      </c>
      <c r="B117" s="106">
        <f t="shared" si="3"/>
        <v>49576</v>
      </c>
      <c r="C117" s="107">
        <f t="shared" si="4"/>
        <v>688186261.97548151</v>
      </c>
      <c r="D117" s="107">
        <f t="shared" si="5"/>
        <v>3529160.3178229821</v>
      </c>
      <c r="E117" s="107">
        <f t="shared" si="6"/>
        <v>3096838.1788896671</v>
      </c>
      <c r="F117" s="107">
        <f t="shared" si="1"/>
        <v>6625998.4967126492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6" x14ac:dyDescent="0.3">
      <c r="A118" s="3">
        <f t="shared" si="2"/>
        <v>107</v>
      </c>
      <c r="B118" s="106">
        <f t="shared" si="3"/>
        <v>49606</v>
      </c>
      <c r="C118" s="107">
        <f t="shared" si="4"/>
        <v>684657101.65765858</v>
      </c>
      <c r="D118" s="107">
        <f t="shared" si="5"/>
        <v>3529160.3178229826</v>
      </c>
      <c r="E118" s="107">
        <f t="shared" si="6"/>
        <v>3080956.9574594633</v>
      </c>
      <c r="F118" s="107">
        <f t="shared" si="1"/>
        <v>6610117.2752824463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6" x14ac:dyDescent="0.3">
      <c r="A119" s="3">
        <f t="shared" si="2"/>
        <v>108</v>
      </c>
      <c r="B119" s="106">
        <f t="shared" si="3"/>
        <v>49637</v>
      </c>
      <c r="C119" s="107">
        <f t="shared" si="4"/>
        <v>681127941.33983564</v>
      </c>
      <c r="D119" s="107">
        <f t="shared" si="5"/>
        <v>3529160.3178229826</v>
      </c>
      <c r="E119" s="107">
        <f t="shared" si="6"/>
        <v>3065075.7360292603</v>
      </c>
      <c r="F119" s="107">
        <f t="shared" si="1"/>
        <v>6594236.0538522433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6" x14ac:dyDescent="0.3">
      <c r="A120" s="3">
        <f t="shared" si="2"/>
        <v>109</v>
      </c>
      <c r="B120" s="106">
        <f t="shared" si="3"/>
        <v>49667</v>
      </c>
      <c r="C120" s="107">
        <f t="shared" si="4"/>
        <v>677598781.02201271</v>
      </c>
      <c r="D120" s="107">
        <f t="shared" si="5"/>
        <v>3529160.317822983</v>
      </c>
      <c r="E120" s="107">
        <f t="shared" si="6"/>
        <v>3049194.5145990569</v>
      </c>
      <c r="F120" s="107">
        <f t="shared" si="1"/>
        <v>6578354.8324220404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6" x14ac:dyDescent="0.3">
      <c r="A121" s="3">
        <f t="shared" si="2"/>
        <v>110</v>
      </c>
      <c r="B121" s="106">
        <f t="shared" si="3"/>
        <v>49698</v>
      </c>
      <c r="C121" s="107">
        <f t="shared" si="4"/>
        <v>674069620.70418978</v>
      </c>
      <c r="D121" s="107">
        <f t="shared" si="5"/>
        <v>3529160.317822983</v>
      </c>
      <c r="E121" s="107">
        <f t="shared" si="6"/>
        <v>3033313.293168854</v>
      </c>
      <c r="F121" s="107">
        <f t="shared" si="1"/>
        <v>6562473.6109918375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6" x14ac:dyDescent="0.3">
      <c r="A122" s="3">
        <f t="shared" si="2"/>
        <v>111</v>
      </c>
      <c r="B122" s="106">
        <f t="shared" si="3"/>
        <v>49729</v>
      </c>
      <c r="C122" s="107">
        <f t="shared" si="4"/>
        <v>670540460.38636684</v>
      </c>
      <c r="D122" s="107">
        <f t="shared" si="5"/>
        <v>3529160.3178229835</v>
      </c>
      <c r="E122" s="107">
        <f t="shared" si="6"/>
        <v>3017432.071738651</v>
      </c>
      <c r="F122" s="107">
        <f t="shared" si="1"/>
        <v>6546592.3895616345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6" x14ac:dyDescent="0.3">
      <c r="A123" s="3">
        <f t="shared" si="2"/>
        <v>112</v>
      </c>
      <c r="B123" s="106">
        <f t="shared" si="3"/>
        <v>49758</v>
      </c>
      <c r="C123" s="107">
        <f t="shared" si="4"/>
        <v>667011300.06854391</v>
      </c>
      <c r="D123" s="107">
        <f t="shared" si="5"/>
        <v>3529160.3178229835</v>
      </c>
      <c r="E123" s="107">
        <f t="shared" si="6"/>
        <v>3001550.8503084476</v>
      </c>
      <c r="F123" s="107">
        <f t="shared" si="1"/>
        <v>6530711.1681314316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6" x14ac:dyDescent="0.3">
      <c r="A124" s="3">
        <f t="shared" si="2"/>
        <v>113</v>
      </c>
      <c r="B124" s="106">
        <f t="shared" si="3"/>
        <v>49789</v>
      </c>
      <c r="C124" s="107">
        <f t="shared" si="4"/>
        <v>663482139.75072098</v>
      </c>
      <c r="D124" s="107">
        <f t="shared" si="5"/>
        <v>3529160.317822984</v>
      </c>
      <c r="E124" s="107">
        <f t="shared" si="6"/>
        <v>2985669.6288782447</v>
      </c>
      <c r="F124" s="107">
        <f t="shared" si="1"/>
        <v>6514829.9467012286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6" x14ac:dyDescent="0.3">
      <c r="A125" s="3">
        <f t="shared" si="2"/>
        <v>114</v>
      </c>
      <c r="B125" s="106">
        <f t="shared" si="3"/>
        <v>49819</v>
      </c>
      <c r="C125" s="107">
        <f t="shared" si="4"/>
        <v>659952979.43289804</v>
      </c>
      <c r="D125" s="107">
        <f t="shared" si="5"/>
        <v>3529160.3178229844</v>
      </c>
      <c r="E125" s="107">
        <f t="shared" si="6"/>
        <v>2969788.4074480408</v>
      </c>
      <c r="F125" s="107">
        <f t="shared" si="1"/>
        <v>6498948.7252710257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6" x14ac:dyDescent="0.3">
      <c r="A126" s="3">
        <f t="shared" si="2"/>
        <v>115</v>
      </c>
      <c r="B126" s="106">
        <f t="shared" si="3"/>
        <v>49850</v>
      </c>
      <c r="C126" s="107">
        <f t="shared" si="4"/>
        <v>656423819.11507511</v>
      </c>
      <c r="D126" s="107">
        <f t="shared" si="5"/>
        <v>3529160.3178229844</v>
      </c>
      <c r="E126" s="107">
        <f t="shared" si="6"/>
        <v>2953907.1860178378</v>
      </c>
      <c r="F126" s="107">
        <f t="shared" si="1"/>
        <v>6483067.5038408227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6" x14ac:dyDescent="0.3">
      <c r="A127" s="3">
        <f t="shared" si="2"/>
        <v>116</v>
      </c>
      <c r="B127" s="106">
        <f t="shared" si="3"/>
        <v>49880</v>
      </c>
      <c r="C127" s="107">
        <f t="shared" si="4"/>
        <v>652894658.79725218</v>
      </c>
      <c r="D127" s="107">
        <f t="shared" si="5"/>
        <v>3529160.3178229849</v>
      </c>
      <c r="E127" s="107">
        <f t="shared" si="6"/>
        <v>2938025.9645876349</v>
      </c>
      <c r="F127" s="107">
        <f t="shared" si="1"/>
        <v>6467186.2824106198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6" x14ac:dyDescent="0.3">
      <c r="A128" s="3">
        <f t="shared" si="2"/>
        <v>117</v>
      </c>
      <c r="B128" s="106">
        <f t="shared" si="3"/>
        <v>49911</v>
      </c>
      <c r="C128" s="107">
        <f t="shared" si="4"/>
        <v>649365498.47942924</v>
      </c>
      <c r="D128" s="107">
        <f t="shared" si="5"/>
        <v>3529160.3178229849</v>
      </c>
      <c r="E128" s="107">
        <f t="shared" si="6"/>
        <v>2922144.7431574315</v>
      </c>
      <c r="F128" s="107">
        <f t="shared" si="1"/>
        <v>6451305.0609804168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6" x14ac:dyDescent="0.3">
      <c r="A129" s="3">
        <f t="shared" si="2"/>
        <v>118</v>
      </c>
      <c r="B129" s="106">
        <f t="shared" si="3"/>
        <v>49942</v>
      </c>
      <c r="C129" s="107">
        <f t="shared" si="4"/>
        <v>645836338.16160631</v>
      </c>
      <c r="D129" s="107">
        <f t="shared" si="5"/>
        <v>3529160.3178229854</v>
      </c>
      <c r="E129" s="107">
        <f t="shared" si="6"/>
        <v>2906263.5217272285</v>
      </c>
      <c r="F129" s="107">
        <f t="shared" si="1"/>
        <v>6435423.8395502139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6" x14ac:dyDescent="0.3">
      <c r="A130" s="3">
        <f t="shared" si="2"/>
        <v>119</v>
      </c>
      <c r="B130" s="106">
        <f t="shared" si="3"/>
        <v>49972</v>
      </c>
      <c r="C130" s="107">
        <f t="shared" si="4"/>
        <v>642307177.84378338</v>
      </c>
      <c r="D130" s="107">
        <f t="shared" si="5"/>
        <v>3529160.3178229858</v>
      </c>
      <c r="E130" s="107">
        <f t="shared" si="6"/>
        <v>2890382.3002970251</v>
      </c>
      <c r="F130" s="107">
        <f t="shared" si="1"/>
        <v>6419542.6181200109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6" x14ac:dyDescent="0.3">
      <c r="A131" s="3">
        <f t="shared" si="2"/>
        <v>120</v>
      </c>
      <c r="B131" s="106">
        <f t="shared" si="3"/>
        <v>50003</v>
      </c>
      <c r="C131" s="107">
        <f t="shared" si="4"/>
        <v>638778017.52596045</v>
      </c>
      <c r="D131" s="107">
        <f t="shared" si="5"/>
        <v>3529160.3178229858</v>
      </c>
      <c r="E131" s="107">
        <f t="shared" si="6"/>
        <v>2874501.0788668222</v>
      </c>
      <c r="F131" s="107">
        <f t="shared" si="1"/>
        <v>6403661.396689808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6" x14ac:dyDescent="0.3">
      <c r="A132" s="3">
        <f t="shared" si="2"/>
        <v>121</v>
      </c>
      <c r="B132" s="106">
        <f t="shared" si="3"/>
        <v>50033</v>
      </c>
      <c r="C132" s="107">
        <f t="shared" si="4"/>
        <v>635248857.20813751</v>
      </c>
      <c r="D132" s="107">
        <f t="shared" si="5"/>
        <v>3529160.3178229863</v>
      </c>
      <c r="E132" s="107">
        <f t="shared" si="6"/>
        <v>2858619.8574366192</v>
      </c>
      <c r="F132" s="107">
        <f t="shared" si="1"/>
        <v>6387780.1752596051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6" x14ac:dyDescent="0.3">
      <c r="A133" s="3">
        <f t="shared" si="2"/>
        <v>122</v>
      </c>
      <c r="B133" s="106">
        <f t="shared" si="3"/>
        <v>50064</v>
      </c>
      <c r="C133" s="107">
        <f t="shared" si="4"/>
        <v>631719696.89031458</v>
      </c>
      <c r="D133" s="107">
        <f t="shared" si="5"/>
        <v>3529160.3178229863</v>
      </c>
      <c r="E133" s="107">
        <f t="shared" si="6"/>
        <v>2842738.6360064154</v>
      </c>
      <c r="F133" s="107">
        <f t="shared" si="1"/>
        <v>6371898.9538294021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6" x14ac:dyDescent="0.3">
      <c r="A134" s="3">
        <f t="shared" si="2"/>
        <v>123</v>
      </c>
      <c r="B134" s="106">
        <f t="shared" si="3"/>
        <v>50095</v>
      </c>
      <c r="C134" s="107">
        <f t="shared" si="4"/>
        <v>628190536.57249165</v>
      </c>
      <c r="D134" s="107">
        <f t="shared" si="5"/>
        <v>3529160.3178229867</v>
      </c>
      <c r="E134" s="107">
        <f t="shared" si="6"/>
        <v>2826857.4145762124</v>
      </c>
      <c r="F134" s="107">
        <f t="shared" si="1"/>
        <v>6356017.7323991992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6" x14ac:dyDescent="0.3">
      <c r="A135" s="3">
        <f t="shared" si="2"/>
        <v>124</v>
      </c>
      <c r="B135" s="106">
        <f t="shared" si="3"/>
        <v>50123</v>
      </c>
      <c r="C135" s="107">
        <f t="shared" si="4"/>
        <v>624661376.25466871</v>
      </c>
      <c r="D135" s="107">
        <f t="shared" si="5"/>
        <v>3529160.3178229872</v>
      </c>
      <c r="E135" s="107">
        <f t="shared" si="6"/>
        <v>2810976.193146009</v>
      </c>
      <c r="F135" s="107">
        <f t="shared" si="1"/>
        <v>6340136.5109689962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6" x14ac:dyDescent="0.3">
      <c r="A136" s="3">
        <f t="shared" si="2"/>
        <v>125</v>
      </c>
      <c r="B136" s="106">
        <f t="shared" si="3"/>
        <v>50154</v>
      </c>
      <c r="C136" s="107">
        <f t="shared" si="4"/>
        <v>621132215.93684578</v>
      </c>
      <c r="D136" s="107">
        <f t="shared" si="5"/>
        <v>3529160.3178229872</v>
      </c>
      <c r="E136" s="107">
        <f t="shared" si="6"/>
        <v>2795094.9717158061</v>
      </c>
      <c r="F136" s="107">
        <f t="shared" si="1"/>
        <v>6324255.2895387933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6" x14ac:dyDescent="0.3">
      <c r="A137" s="3">
        <f t="shared" si="2"/>
        <v>126</v>
      </c>
      <c r="B137" s="106">
        <f t="shared" si="3"/>
        <v>50184</v>
      </c>
      <c r="C137" s="107">
        <f t="shared" si="4"/>
        <v>617603055.61902285</v>
      </c>
      <c r="D137" s="107">
        <f t="shared" si="5"/>
        <v>3529160.3178229877</v>
      </c>
      <c r="E137" s="107">
        <f t="shared" si="6"/>
        <v>2779213.7502856026</v>
      </c>
      <c r="F137" s="107">
        <f t="shared" si="1"/>
        <v>6308374.0681085903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6" x14ac:dyDescent="0.3">
      <c r="A138" s="3">
        <f t="shared" si="2"/>
        <v>127</v>
      </c>
      <c r="B138" s="106">
        <f t="shared" si="3"/>
        <v>50215</v>
      </c>
      <c r="C138" s="107">
        <f t="shared" si="4"/>
        <v>614073895.30119991</v>
      </c>
      <c r="D138" s="107">
        <f t="shared" si="5"/>
        <v>3529160.3178229881</v>
      </c>
      <c r="E138" s="107">
        <f t="shared" si="6"/>
        <v>2763332.5288553997</v>
      </c>
      <c r="F138" s="107">
        <f t="shared" si="1"/>
        <v>6292492.8466783874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6" x14ac:dyDescent="0.3">
      <c r="A139" s="3">
        <f t="shared" si="2"/>
        <v>128</v>
      </c>
      <c r="B139" s="106">
        <f t="shared" si="3"/>
        <v>50245</v>
      </c>
      <c r="C139" s="107">
        <f t="shared" si="4"/>
        <v>610544734.98337698</v>
      </c>
      <c r="D139" s="107">
        <f t="shared" si="5"/>
        <v>3529160.3178229881</v>
      </c>
      <c r="E139" s="107">
        <f t="shared" si="6"/>
        <v>2747451.3074251963</v>
      </c>
      <c r="F139" s="107">
        <f t="shared" si="1"/>
        <v>6276611.6252481844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6" x14ac:dyDescent="0.3">
      <c r="A140" s="3">
        <f t="shared" si="2"/>
        <v>129</v>
      </c>
      <c r="B140" s="106">
        <f t="shared" si="3"/>
        <v>50276</v>
      </c>
      <c r="C140" s="107">
        <f t="shared" si="4"/>
        <v>607015574.66555405</v>
      </c>
      <c r="D140" s="107">
        <f t="shared" si="5"/>
        <v>3529160.3178229886</v>
      </c>
      <c r="E140" s="107">
        <f t="shared" si="6"/>
        <v>2731570.0859949929</v>
      </c>
      <c r="F140" s="107">
        <f t="shared" si="1"/>
        <v>6260730.4038179815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6" x14ac:dyDescent="0.3">
      <c r="A141" s="3">
        <f t="shared" si="2"/>
        <v>130</v>
      </c>
      <c r="B141" s="106">
        <f t="shared" si="3"/>
        <v>50307</v>
      </c>
      <c r="C141" s="107">
        <f t="shared" si="4"/>
        <v>603486414.34773111</v>
      </c>
      <c r="D141" s="107">
        <f t="shared" si="5"/>
        <v>3529160.3178229891</v>
      </c>
      <c r="E141" s="107">
        <f t="shared" si="6"/>
        <v>2715688.8645647899</v>
      </c>
      <c r="F141" s="107">
        <f t="shared" si="1"/>
        <v>6244849.1823877785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6" x14ac:dyDescent="0.3">
      <c r="A142" s="3">
        <f t="shared" si="2"/>
        <v>131</v>
      </c>
      <c r="B142" s="106">
        <f t="shared" si="3"/>
        <v>50337</v>
      </c>
      <c r="C142" s="107">
        <f t="shared" si="4"/>
        <v>599957254.02990818</v>
      </c>
      <c r="D142" s="107">
        <f t="shared" si="5"/>
        <v>3529160.3178229891</v>
      </c>
      <c r="E142" s="107">
        <f t="shared" si="6"/>
        <v>2699807.643134587</v>
      </c>
      <c r="F142" s="107">
        <f t="shared" si="1"/>
        <v>6228967.9609575756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6" x14ac:dyDescent="0.3">
      <c r="A143" s="3">
        <f t="shared" si="2"/>
        <v>132</v>
      </c>
      <c r="B143" s="106">
        <f t="shared" si="3"/>
        <v>50368</v>
      </c>
      <c r="C143" s="107">
        <f t="shared" si="4"/>
        <v>596428093.71208525</v>
      </c>
      <c r="D143" s="107">
        <f t="shared" si="5"/>
        <v>3529160.3178229895</v>
      </c>
      <c r="E143" s="107">
        <f t="shared" si="6"/>
        <v>2683926.4217043836</v>
      </c>
      <c r="F143" s="107">
        <f t="shared" si="1"/>
        <v>6213086.7395273726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6" x14ac:dyDescent="0.3">
      <c r="A144" s="3">
        <f t="shared" si="2"/>
        <v>133</v>
      </c>
      <c r="B144" s="106">
        <f t="shared" si="3"/>
        <v>50398</v>
      </c>
      <c r="C144" s="107">
        <f t="shared" si="4"/>
        <v>592898933.39426231</v>
      </c>
      <c r="D144" s="107">
        <f t="shared" si="5"/>
        <v>3529160.31782299</v>
      </c>
      <c r="E144" s="107">
        <f t="shared" si="6"/>
        <v>2668045.2002741802</v>
      </c>
      <c r="F144" s="107">
        <f t="shared" si="1"/>
        <v>6197205.5180971697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6" x14ac:dyDescent="0.3">
      <c r="A145" s="3">
        <f t="shared" si="2"/>
        <v>134</v>
      </c>
      <c r="B145" s="106">
        <f t="shared" si="3"/>
        <v>50429</v>
      </c>
      <c r="C145" s="107">
        <f t="shared" si="4"/>
        <v>589369773.07643938</v>
      </c>
      <c r="D145" s="107">
        <f t="shared" si="5"/>
        <v>3529160.3178229905</v>
      </c>
      <c r="E145" s="107">
        <f t="shared" si="6"/>
        <v>2652163.9788439772</v>
      </c>
      <c r="F145" s="107">
        <f t="shared" si="1"/>
        <v>6181324.2966669677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6" x14ac:dyDescent="0.3">
      <c r="A146" s="3">
        <f t="shared" si="2"/>
        <v>135</v>
      </c>
      <c r="B146" s="106">
        <f t="shared" si="3"/>
        <v>50460</v>
      </c>
      <c r="C146" s="107">
        <f t="shared" si="4"/>
        <v>585840612.75861645</v>
      </c>
      <c r="D146" s="107">
        <f t="shared" si="5"/>
        <v>3529160.3178229905</v>
      </c>
      <c r="E146" s="107">
        <f t="shared" si="6"/>
        <v>2636282.7574137743</v>
      </c>
      <c r="F146" s="107">
        <f t="shared" si="1"/>
        <v>6165443.0752367647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6" x14ac:dyDescent="0.3">
      <c r="A147" s="3">
        <f t="shared" si="2"/>
        <v>136</v>
      </c>
      <c r="B147" s="106">
        <f t="shared" si="3"/>
        <v>50488</v>
      </c>
      <c r="C147" s="107">
        <f t="shared" si="4"/>
        <v>582311452.44079351</v>
      </c>
      <c r="D147" s="107">
        <f t="shared" si="5"/>
        <v>3529160.3178229909</v>
      </c>
      <c r="E147" s="107">
        <f t="shared" si="6"/>
        <v>2620401.5359835709</v>
      </c>
      <c r="F147" s="107">
        <f t="shared" si="1"/>
        <v>6149561.8538065618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6" x14ac:dyDescent="0.3">
      <c r="A148" s="3">
        <f t="shared" si="2"/>
        <v>137</v>
      </c>
      <c r="B148" s="106">
        <f t="shared" si="3"/>
        <v>50519</v>
      </c>
      <c r="C148" s="107">
        <f t="shared" si="4"/>
        <v>578782292.12297058</v>
      </c>
      <c r="D148" s="107">
        <f t="shared" si="5"/>
        <v>3529160.3178229914</v>
      </c>
      <c r="E148" s="107">
        <f t="shared" si="6"/>
        <v>2604520.3145533674</v>
      </c>
      <c r="F148" s="107">
        <f t="shared" si="1"/>
        <v>6133680.6323763588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6" x14ac:dyDescent="0.3">
      <c r="A149" s="3">
        <f t="shared" si="2"/>
        <v>138</v>
      </c>
      <c r="B149" s="106">
        <f t="shared" si="3"/>
        <v>50549</v>
      </c>
      <c r="C149" s="107">
        <f t="shared" si="4"/>
        <v>575253131.80514765</v>
      </c>
      <c r="D149" s="107">
        <f t="shared" si="5"/>
        <v>3529160.3178229919</v>
      </c>
      <c r="E149" s="107">
        <f t="shared" si="6"/>
        <v>2588639.0931231645</v>
      </c>
      <c r="F149" s="107">
        <f t="shared" si="1"/>
        <v>6117799.4109461568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6" x14ac:dyDescent="0.3">
      <c r="A150" s="3">
        <f t="shared" si="2"/>
        <v>139</v>
      </c>
      <c r="B150" s="106">
        <f t="shared" si="3"/>
        <v>50580</v>
      </c>
      <c r="C150" s="107">
        <f t="shared" si="4"/>
        <v>571723971.48732471</v>
      </c>
      <c r="D150" s="107">
        <f t="shared" si="5"/>
        <v>3529160.3178229919</v>
      </c>
      <c r="E150" s="107">
        <f t="shared" si="6"/>
        <v>2572757.8716929611</v>
      </c>
      <c r="F150" s="107">
        <f t="shared" si="1"/>
        <v>6101918.189515953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6" x14ac:dyDescent="0.3">
      <c r="A151" s="3">
        <f t="shared" si="2"/>
        <v>140</v>
      </c>
      <c r="B151" s="106">
        <f t="shared" si="3"/>
        <v>50610</v>
      </c>
      <c r="C151" s="107">
        <f t="shared" si="4"/>
        <v>568194811.16950178</v>
      </c>
      <c r="D151" s="107">
        <f t="shared" si="5"/>
        <v>3529160.3178229923</v>
      </c>
      <c r="E151" s="107">
        <f t="shared" si="6"/>
        <v>2556876.6502627581</v>
      </c>
      <c r="F151" s="107">
        <f t="shared" si="1"/>
        <v>6086036.9680857509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6" x14ac:dyDescent="0.3">
      <c r="A152" s="3">
        <f t="shared" si="2"/>
        <v>141</v>
      </c>
      <c r="B152" s="106">
        <f t="shared" si="3"/>
        <v>50641</v>
      </c>
      <c r="C152" s="107">
        <f t="shared" si="4"/>
        <v>564665650.85167885</v>
      </c>
      <c r="D152" s="107">
        <f t="shared" si="5"/>
        <v>3529160.3178229928</v>
      </c>
      <c r="E152" s="107">
        <f t="shared" si="6"/>
        <v>2540995.4288325547</v>
      </c>
      <c r="F152" s="107">
        <f t="shared" si="1"/>
        <v>6070155.746655548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6" x14ac:dyDescent="0.3">
      <c r="A153" s="3">
        <f t="shared" si="2"/>
        <v>142</v>
      </c>
      <c r="B153" s="106">
        <f t="shared" si="3"/>
        <v>50672</v>
      </c>
      <c r="C153" s="107">
        <f t="shared" si="4"/>
        <v>561136490.53385592</v>
      </c>
      <c r="D153" s="107">
        <f t="shared" si="5"/>
        <v>3529160.3178229933</v>
      </c>
      <c r="E153" s="107">
        <f t="shared" si="6"/>
        <v>2525114.2074023518</v>
      </c>
      <c r="F153" s="107">
        <f t="shared" si="1"/>
        <v>6054274.525225345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6" x14ac:dyDescent="0.3">
      <c r="A154" s="3">
        <f t="shared" si="2"/>
        <v>143</v>
      </c>
      <c r="B154" s="106">
        <f t="shared" si="3"/>
        <v>50702</v>
      </c>
      <c r="C154" s="107">
        <f t="shared" si="4"/>
        <v>557607330.21603286</v>
      </c>
      <c r="D154" s="107">
        <f t="shared" si="5"/>
        <v>3529160.3178229928</v>
      </c>
      <c r="E154" s="107">
        <f t="shared" si="6"/>
        <v>2509232.9859721479</v>
      </c>
      <c r="F154" s="107">
        <f t="shared" si="1"/>
        <v>6038393.3037951402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6" x14ac:dyDescent="0.3">
      <c r="A155" s="3">
        <f t="shared" si="2"/>
        <v>144</v>
      </c>
      <c r="B155" s="106">
        <f t="shared" si="3"/>
        <v>50733</v>
      </c>
      <c r="C155" s="107">
        <f t="shared" si="4"/>
        <v>554078169.89820981</v>
      </c>
      <c r="D155" s="107">
        <f t="shared" si="5"/>
        <v>3529160.3178229923</v>
      </c>
      <c r="E155" s="107">
        <f t="shared" si="6"/>
        <v>2493351.764541944</v>
      </c>
      <c r="F155" s="107">
        <f t="shared" si="1"/>
        <v>6022512.0823649364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6" x14ac:dyDescent="0.3">
      <c r="A156" s="3">
        <f t="shared" si="2"/>
        <v>145</v>
      </c>
      <c r="B156" s="106">
        <f t="shared" si="3"/>
        <v>50763</v>
      </c>
      <c r="C156" s="107">
        <f t="shared" si="4"/>
        <v>550549009.58038688</v>
      </c>
      <c r="D156" s="107">
        <f t="shared" si="5"/>
        <v>3529160.3178229928</v>
      </c>
      <c r="E156" s="107">
        <f t="shared" si="6"/>
        <v>2477470.5431117411</v>
      </c>
      <c r="F156" s="107">
        <f t="shared" si="1"/>
        <v>6006630.8609347343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6" x14ac:dyDescent="0.3">
      <c r="A157" s="3">
        <f t="shared" si="2"/>
        <v>146</v>
      </c>
      <c r="B157" s="106">
        <f t="shared" si="3"/>
        <v>50794</v>
      </c>
      <c r="C157" s="107">
        <f t="shared" si="4"/>
        <v>547019849.26256394</v>
      </c>
      <c r="D157" s="107">
        <f t="shared" si="5"/>
        <v>3529160.3178229933</v>
      </c>
      <c r="E157" s="107">
        <f t="shared" si="6"/>
        <v>2461589.3216815377</v>
      </c>
      <c r="F157" s="107">
        <f t="shared" si="1"/>
        <v>5990749.6395045314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6" x14ac:dyDescent="0.3">
      <c r="A158" s="3">
        <f t="shared" si="2"/>
        <v>147</v>
      </c>
      <c r="B158" s="106">
        <f t="shared" si="3"/>
        <v>50825</v>
      </c>
      <c r="C158" s="107">
        <f t="shared" si="4"/>
        <v>543490688.94474089</v>
      </c>
      <c r="D158" s="107">
        <f t="shared" si="5"/>
        <v>3529160.3178229928</v>
      </c>
      <c r="E158" s="107">
        <f t="shared" si="6"/>
        <v>2445708.1002513343</v>
      </c>
      <c r="F158" s="107">
        <f t="shared" si="1"/>
        <v>5974868.4180743266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6" x14ac:dyDescent="0.3">
      <c r="A159" s="3">
        <f t="shared" si="2"/>
        <v>148</v>
      </c>
      <c r="B159" s="106">
        <f t="shared" si="3"/>
        <v>50853</v>
      </c>
      <c r="C159" s="107">
        <f t="shared" si="4"/>
        <v>539961528.62691784</v>
      </c>
      <c r="D159" s="107">
        <f t="shared" si="5"/>
        <v>3529160.3178229923</v>
      </c>
      <c r="E159" s="107">
        <f t="shared" si="6"/>
        <v>2429826.8788211304</v>
      </c>
      <c r="F159" s="107">
        <f t="shared" si="1"/>
        <v>5958987.1966441227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6" x14ac:dyDescent="0.3">
      <c r="A160" s="3">
        <f t="shared" si="2"/>
        <v>149</v>
      </c>
      <c r="B160" s="106">
        <f t="shared" si="3"/>
        <v>50884</v>
      </c>
      <c r="C160" s="107">
        <f t="shared" si="4"/>
        <v>536432368.30909485</v>
      </c>
      <c r="D160" s="107">
        <f t="shared" si="5"/>
        <v>3529160.3178229923</v>
      </c>
      <c r="E160" s="107">
        <f t="shared" si="6"/>
        <v>2413945.6573909265</v>
      </c>
      <c r="F160" s="107">
        <f t="shared" si="1"/>
        <v>5943105.9752139188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6" x14ac:dyDescent="0.3">
      <c r="A161" s="3">
        <f t="shared" si="2"/>
        <v>150</v>
      </c>
      <c r="B161" s="106">
        <f t="shared" si="3"/>
        <v>50914</v>
      </c>
      <c r="C161" s="107">
        <f t="shared" si="4"/>
        <v>532903207.99127185</v>
      </c>
      <c r="D161" s="107">
        <f t="shared" si="5"/>
        <v>3529160.3178229923</v>
      </c>
      <c r="E161" s="107">
        <f t="shared" si="6"/>
        <v>2398064.4359607236</v>
      </c>
      <c r="F161" s="107">
        <f t="shared" si="1"/>
        <v>5927224.7537837159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6" x14ac:dyDescent="0.3">
      <c r="A162" s="3">
        <f t="shared" si="2"/>
        <v>151</v>
      </c>
      <c r="B162" s="106">
        <f t="shared" si="3"/>
        <v>50945</v>
      </c>
      <c r="C162" s="107">
        <f t="shared" si="4"/>
        <v>529374047.67344886</v>
      </c>
      <c r="D162" s="107">
        <f t="shared" si="5"/>
        <v>3529160.3178229923</v>
      </c>
      <c r="E162" s="107">
        <f t="shared" si="6"/>
        <v>2382183.2145305197</v>
      </c>
      <c r="F162" s="107">
        <f t="shared" si="1"/>
        <v>5911343.532353512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6" x14ac:dyDescent="0.3">
      <c r="A163" s="3">
        <f t="shared" si="2"/>
        <v>152</v>
      </c>
      <c r="B163" s="106">
        <f t="shared" si="3"/>
        <v>50975</v>
      </c>
      <c r="C163" s="107">
        <f t="shared" si="4"/>
        <v>525844887.35562587</v>
      </c>
      <c r="D163" s="107">
        <f t="shared" si="5"/>
        <v>3529160.3178229923</v>
      </c>
      <c r="E163" s="107">
        <f t="shared" si="6"/>
        <v>2366301.9931003163</v>
      </c>
      <c r="F163" s="107">
        <f t="shared" si="1"/>
        <v>5895462.3109233081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6" x14ac:dyDescent="0.3">
      <c r="A164" s="3">
        <f t="shared" si="2"/>
        <v>153</v>
      </c>
      <c r="B164" s="106">
        <f t="shared" si="3"/>
        <v>51006</v>
      </c>
      <c r="C164" s="107">
        <f t="shared" si="4"/>
        <v>522315727.03780288</v>
      </c>
      <c r="D164" s="107">
        <f t="shared" si="5"/>
        <v>3529160.3178229923</v>
      </c>
      <c r="E164" s="107">
        <f t="shared" si="6"/>
        <v>2350420.7716701129</v>
      </c>
      <c r="F164" s="107">
        <f t="shared" si="1"/>
        <v>5879581.0894931052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6" x14ac:dyDescent="0.3">
      <c r="A165" s="3">
        <f t="shared" si="2"/>
        <v>154</v>
      </c>
      <c r="B165" s="106">
        <f t="shared" si="3"/>
        <v>51037</v>
      </c>
      <c r="C165" s="107">
        <f t="shared" si="4"/>
        <v>518786566.71997988</v>
      </c>
      <c r="D165" s="107">
        <f t="shared" si="5"/>
        <v>3529160.3178229923</v>
      </c>
      <c r="E165" s="107">
        <f t="shared" si="6"/>
        <v>2334539.5502399094</v>
      </c>
      <c r="F165" s="107">
        <f t="shared" si="1"/>
        <v>5863699.8680629022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6" x14ac:dyDescent="0.3">
      <c r="A166" s="3">
        <f t="shared" si="2"/>
        <v>155</v>
      </c>
      <c r="B166" s="106">
        <f t="shared" si="3"/>
        <v>51067</v>
      </c>
      <c r="C166" s="107">
        <f t="shared" si="4"/>
        <v>515257406.40215689</v>
      </c>
      <c r="D166" s="107">
        <f t="shared" si="5"/>
        <v>3529160.3178229923</v>
      </c>
      <c r="E166" s="107">
        <f t="shared" si="6"/>
        <v>2318658.328809706</v>
      </c>
      <c r="F166" s="107">
        <f t="shared" si="1"/>
        <v>5847818.6466326984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6" x14ac:dyDescent="0.3">
      <c r="A167" s="3">
        <f t="shared" si="2"/>
        <v>156</v>
      </c>
      <c r="B167" s="106">
        <f t="shared" si="3"/>
        <v>51098</v>
      </c>
      <c r="C167" s="107">
        <f t="shared" si="4"/>
        <v>511728246.0843339</v>
      </c>
      <c r="D167" s="107">
        <f t="shared" si="5"/>
        <v>3529160.3178229923</v>
      </c>
      <c r="E167" s="107">
        <f t="shared" si="6"/>
        <v>2302777.1073795026</v>
      </c>
      <c r="F167" s="107">
        <f t="shared" si="1"/>
        <v>5831937.4252024945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6" x14ac:dyDescent="0.3">
      <c r="A168" s="3">
        <f t="shared" si="2"/>
        <v>157</v>
      </c>
      <c r="B168" s="106">
        <f t="shared" si="3"/>
        <v>51128</v>
      </c>
      <c r="C168" s="107">
        <f t="shared" si="4"/>
        <v>508199085.7665109</v>
      </c>
      <c r="D168" s="107">
        <f t="shared" si="5"/>
        <v>3529160.3178229923</v>
      </c>
      <c r="E168" s="107">
        <f t="shared" si="6"/>
        <v>2286895.8859492992</v>
      </c>
      <c r="F168" s="107">
        <f t="shared" si="1"/>
        <v>5816056.2037722915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6" x14ac:dyDescent="0.3">
      <c r="A169" s="3">
        <f t="shared" si="2"/>
        <v>158</v>
      </c>
      <c r="B169" s="106">
        <f t="shared" si="3"/>
        <v>51159</v>
      </c>
      <c r="C169" s="107">
        <f t="shared" si="4"/>
        <v>504669925.44868791</v>
      </c>
      <c r="D169" s="107">
        <f t="shared" si="5"/>
        <v>3529160.3178229923</v>
      </c>
      <c r="E169" s="107">
        <f t="shared" si="6"/>
        <v>2271014.6645190953</v>
      </c>
      <c r="F169" s="107">
        <f t="shared" si="1"/>
        <v>5800174.9823420877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6" x14ac:dyDescent="0.3">
      <c r="A170" s="3">
        <f t="shared" si="2"/>
        <v>159</v>
      </c>
      <c r="B170" s="106">
        <f t="shared" si="3"/>
        <v>51190</v>
      </c>
      <c r="C170" s="107">
        <f t="shared" si="4"/>
        <v>501140765.13086492</v>
      </c>
      <c r="D170" s="107">
        <f t="shared" si="5"/>
        <v>3529160.3178229923</v>
      </c>
      <c r="E170" s="107">
        <f t="shared" si="6"/>
        <v>2255133.4430888924</v>
      </c>
      <c r="F170" s="107">
        <f t="shared" si="1"/>
        <v>5784293.7609118847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6" x14ac:dyDescent="0.3">
      <c r="A171" s="3">
        <f t="shared" si="2"/>
        <v>160</v>
      </c>
      <c r="B171" s="106">
        <f t="shared" si="3"/>
        <v>51219</v>
      </c>
      <c r="C171" s="107">
        <f t="shared" si="4"/>
        <v>497611604.81304193</v>
      </c>
      <c r="D171" s="107">
        <f t="shared" si="5"/>
        <v>3529160.3178229923</v>
      </c>
      <c r="E171" s="107">
        <f t="shared" si="6"/>
        <v>2239252.2216586885</v>
      </c>
      <c r="F171" s="107">
        <f t="shared" si="1"/>
        <v>5768412.5394816808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6" x14ac:dyDescent="0.3">
      <c r="A172" s="3">
        <f t="shared" si="2"/>
        <v>161</v>
      </c>
      <c r="B172" s="106">
        <f t="shared" si="3"/>
        <v>51250</v>
      </c>
      <c r="C172" s="107">
        <f t="shared" si="4"/>
        <v>494082444.49521893</v>
      </c>
      <c r="D172" s="107">
        <f t="shared" si="5"/>
        <v>3529160.3178229923</v>
      </c>
      <c r="E172" s="107">
        <f t="shared" si="6"/>
        <v>2223371.0002284851</v>
      </c>
      <c r="F172" s="107">
        <f t="shared" si="1"/>
        <v>5752531.3180514779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6" x14ac:dyDescent="0.3">
      <c r="A173" s="3">
        <f t="shared" si="2"/>
        <v>162</v>
      </c>
      <c r="B173" s="106">
        <f t="shared" si="3"/>
        <v>51280</v>
      </c>
      <c r="C173" s="107">
        <f t="shared" si="4"/>
        <v>490553284.17739594</v>
      </c>
      <c r="D173" s="107">
        <f t="shared" si="5"/>
        <v>3529160.3178229923</v>
      </c>
      <c r="E173" s="107">
        <f t="shared" si="6"/>
        <v>2207489.7787982817</v>
      </c>
      <c r="F173" s="107">
        <f t="shared" si="1"/>
        <v>5736650.096621274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6" x14ac:dyDescent="0.3">
      <c r="A174" s="3">
        <f t="shared" si="2"/>
        <v>163</v>
      </c>
      <c r="B174" s="106">
        <f t="shared" si="3"/>
        <v>51311</v>
      </c>
      <c r="C174" s="107">
        <f t="shared" si="4"/>
        <v>487024123.85957295</v>
      </c>
      <c r="D174" s="107">
        <f t="shared" si="5"/>
        <v>3529160.3178229923</v>
      </c>
      <c r="E174" s="107">
        <f t="shared" si="6"/>
        <v>2191608.5573680783</v>
      </c>
      <c r="F174" s="107">
        <f t="shared" si="1"/>
        <v>5720768.8751910701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6" x14ac:dyDescent="0.3">
      <c r="A175" s="3">
        <f t="shared" si="2"/>
        <v>164</v>
      </c>
      <c r="B175" s="106">
        <f t="shared" si="3"/>
        <v>51341</v>
      </c>
      <c r="C175" s="107">
        <f t="shared" si="4"/>
        <v>483494963.54174995</v>
      </c>
      <c r="D175" s="107">
        <f t="shared" si="5"/>
        <v>3529160.3178229923</v>
      </c>
      <c r="E175" s="107">
        <f t="shared" si="6"/>
        <v>2175727.3359378749</v>
      </c>
      <c r="F175" s="107">
        <f t="shared" si="1"/>
        <v>5704887.6537608672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6" x14ac:dyDescent="0.3">
      <c r="A176" s="3">
        <f t="shared" si="2"/>
        <v>165</v>
      </c>
      <c r="B176" s="106">
        <f t="shared" si="3"/>
        <v>51372</v>
      </c>
      <c r="C176" s="107">
        <f t="shared" si="4"/>
        <v>479965803.22392696</v>
      </c>
      <c r="D176" s="107">
        <f t="shared" si="5"/>
        <v>3529160.3178229923</v>
      </c>
      <c r="E176" s="107">
        <f t="shared" si="6"/>
        <v>2159846.1145076714</v>
      </c>
      <c r="F176" s="107">
        <f t="shared" si="1"/>
        <v>5689006.4323306642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6" x14ac:dyDescent="0.3">
      <c r="A177" s="3">
        <f t="shared" si="2"/>
        <v>166</v>
      </c>
      <c r="B177" s="106">
        <f t="shared" si="3"/>
        <v>51403</v>
      </c>
      <c r="C177" s="107">
        <f t="shared" si="4"/>
        <v>476436642.90610397</v>
      </c>
      <c r="D177" s="107">
        <f t="shared" si="5"/>
        <v>3529160.3178229923</v>
      </c>
      <c r="E177" s="107">
        <f t="shared" si="6"/>
        <v>2143964.893077468</v>
      </c>
      <c r="F177" s="107">
        <f t="shared" si="1"/>
        <v>5673125.2109004604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6" x14ac:dyDescent="0.3">
      <c r="A178" s="3">
        <f t="shared" si="2"/>
        <v>167</v>
      </c>
      <c r="B178" s="106">
        <f t="shared" si="3"/>
        <v>51433</v>
      </c>
      <c r="C178" s="107">
        <f t="shared" si="4"/>
        <v>472907482.58828098</v>
      </c>
      <c r="D178" s="107">
        <f t="shared" si="5"/>
        <v>3529160.3178229923</v>
      </c>
      <c r="E178" s="107">
        <f t="shared" si="6"/>
        <v>2128083.6716472642</v>
      </c>
      <c r="F178" s="107">
        <f t="shared" si="1"/>
        <v>5657243.9894702565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6" x14ac:dyDescent="0.3">
      <c r="A179" s="3">
        <f t="shared" si="2"/>
        <v>168</v>
      </c>
      <c r="B179" s="106">
        <f t="shared" si="3"/>
        <v>51464</v>
      </c>
      <c r="C179" s="107">
        <f t="shared" si="4"/>
        <v>469378322.27045798</v>
      </c>
      <c r="D179" s="107">
        <f t="shared" si="5"/>
        <v>3529160.3178229923</v>
      </c>
      <c r="E179" s="107">
        <f t="shared" si="6"/>
        <v>2112202.4502170607</v>
      </c>
      <c r="F179" s="107">
        <f t="shared" si="1"/>
        <v>5641362.7680400535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6" x14ac:dyDescent="0.3">
      <c r="A180" s="3">
        <f t="shared" si="2"/>
        <v>169</v>
      </c>
      <c r="B180" s="106">
        <f t="shared" si="3"/>
        <v>51494</v>
      </c>
      <c r="C180" s="107">
        <f t="shared" si="4"/>
        <v>465849161.95263499</v>
      </c>
      <c r="D180" s="107">
        <f t="shared" si="5"/>
        <v>3529160.3178229923</v>
      </c>
      <c r="E180" s="107">
        <f t="shared" si="6"/>
        <v>2096321.2287868576</v>
      </c>
      <c r="F180" s="107">
        <f t="shared" si="1"/>
        <v>5625481.5466098497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6" x14ac:dyDescent="0.3">
      <c r="A181" s="3">
        <f t="shared" si="2"/>
        <v>170</v>
      </c>
      <c r="B181" s="106">
        <f t="shared" si="3"/>
        <v>51525</v>
      </c>
      <c r="C181" s="107">
        <f t="shared" si="4"/>
        <v>462320001.634812</v>
      </c>
      <c r="D181" s="107">
        <f t="shared" si="5"/>
        <v>3529160.3178229923</v>
      </c>
      <c r="E181" s="107">
        <f t="shared" si="6"/>
        <v>2080440.0073566539</v>
      </c>
      <c r="F181" s="107">
        <f t="shared" si="1"/>
        <v>5609600.3251796458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6" x14ac:dyDescent="0.3">
      <c r="A182" s="3">
        <f t="shared" si="2"/>
        <v>171</v>
      </c>
      <c r="B182" s="106">
        <f t="shared" si="3"/>
        <v>51556</v>
      </c>
      <c r="C182" s="107">
        <f t="shared" si="4"/>
        <v>458790841.316989</v>
      </c>
      <c r="D182" s="107">
        <f t="shared" si="5"/>
        <v>3529160.3178229923</v>
      </c>
      <c r="E182" s="107">
        <f t="shared" si="6"/>
        <v>2064558.7859264503</v>
      </c>
      <c r="F182" s="107">
        <f t="shared" si="1"/>
        <v>5593719.1037494428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6" x14ac:dyDescent="0.3">
      <c r="A183" s="3">
        <f t="shared" si="2"/>
        <v>172</v>
      </c>
      <c r="B183" s="106">
        <f t="shared" si="3"/>
        <v>51584</v>
      </c>
      <c r="C183" s="107">
        <f t="shared" si="4"/>
        <v>455261680.99916601</v>
      </c>
      <c r="D183" s="107">
        <f t="shared" si="5"/>
        <v>3529160.3178229923</v>
      </c>
      <c r="E183" s="107">
        <f t="shared" si="6"/>
        <v>2048677.5644962471</v>
      </c>
      <c r="F183" s="107">
        <f t="shared" si="1"/>
        <v>5577837.8823192399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6" x14ac:dyDescent="0.3">
      <c r="A184" s="3">
        <f t="shared" si="2"/>
        <v>173</v>
      </c>
      <c r="B184" s="106">
        <f t="shared" si="3"/>
        <v>51615</v>
      </c>
      <c r="C184" s="107">
        <f t="shared" si="4"/>
        <v>451732520.68134302</v>
      </c>
      <c r="D184" s="107">
        <f t="shared" si="5"/>
        <v>3529160.3178229923</v>
      </c>
      <c r="E184" s="107">
        <f t="shared" si="6"/>
        <v>2032796.3430660435</v>
      </c>
      <c r="F184" s="107">
        <f t="shared" si="1"/>
        <v>5561956.660889036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6" x14ac:dyDescent="0.3">
      <c r="A185" s="3">
        <f t="shared" si="2"/>
        <v>174</v>
      </c>
      <c r="B185" s="106">
        <f t="shared" si="3"/>
        <v>51645</v>
      </c>
      <c r="C185" s="107">
        <f t="shared" si="4"/>
        <v>448203360.36352003</v>
      </c>
      <c r="D185" s="107">
        <f t="shared" si="5"/>
        <v>3529160.3178229923</v>
      </c>
      <c r="E185" s="107">
        <f t="shared" si="6"/>
        <v>2016915.12163584</v>
      </c>
      <c r="F185" s="107">
        <f t="shared" si="1"/>
        <v>5546075.4394588321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6" x14ac:dyDescent="0.3">
      <c r="A186" s="3">
        <f t="shared" si="2"/>
        <v>175</v>
      </c>
      <c r="B186" s="106">
        <f t="shared" si="3"/>
        <v>51676</v>
      </c>
      <c r="C186" s="107">
        <f t="shared" si="4"/>
        <v>444674200.04569703</v>
      </c>
      <c r="D186" s="107">
        <f t="shared" si="5"/>
        <v>3529160.3178229923</v>
      </c>
      <c r="E186" s="107">
        <f t="shared" si="6"/>
        <v>2001033.9002056366</v>
      </c>
      <c r="F186" s="107">
        <f t="shared" si="1"/>
        <v>5530194.2180286292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6" x14ac:dyDescent="0.3">
      <c r="A187" s="3">
        <f t="shared" si="2"/>
        <v>176</v>
      </c>
      <c r="B187" s="106">
        <f t="shared" si="3"/>
        <v>51706</v>
      </c>
      <c r="C187" s="107">
        <f t="shared" si="4"/>
        <v>441145039.72787404</v>
      </c>
      <c r="D187" s="107">
        <f t="shared" si="5"/>
        <v>3529160.3178229923</v>
      </c>
      <c r="E187" s="107">
        <f t="shared" si="6"/>
        <v>1985152.6787754332</v>
      </c>
      <c r="F187" s="107">
        <f t="shared" si="1"/>
        <v>5514312.9965984253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6" x14ac:dyDescent="0.3">
      <c r="A188" s="3">
        <f t="shared" si="2"/>
        <v>177</v>
      </c>
      <c r="B188" s="106">
        <f t="shared" si="3"/>
        <v>51737</v>
      </c>
      <c r="C188" s="107">
        <f t="shared" si="4"/>
        <v>437615879.41005105</v>
      </c>
      <c r="D188" s="107">
        <f t="shared" si="5"/>
        <v>3529160.3178229923</v>
      </c>
      <c r="E188" s="107">
        <f t="shared" si="6"/>
        <v>1969271.4573452296</v>
      </c>
      <c r="F188" s="107">
        <f t="shared" si="1"/>
        <v>5498431.7751682214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6" x14ac:dyDescent="0.3">
      <c r="A189" s="3">
        <f t="shared" si="2"/>
        <v>178</v>
      </c>
      <c r="B189" s="106">
        <f t="shared" si="3"/>
        <v>51768</v>
      </c>
      <c r="C189" s="107">
        <f t="shared" si="4"/>
        <v>434086719.09222806</v>
      </c>
      <c r="D189" s="107">
        <f t="shared" si="5"/>
        <v>3529160.3178229923</v>
      </c>
      <c r="E189" s="107">
        <f t="shared" si="6"/>
        <v>1953390.2359150264</v>
      </c>
      <c r="F189" s="107">
        <f t="shared" si="1"/>
        <v>5482550.5537380185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6" x14ac:dyDescent="0.3">
      <c r="A190" s="3">
        <f t="shared" si="2"/>
        <v>179</v>
      </c>
      <c r="B190" s="106">
        <f t="shared" si="3"/>
        <v>51798</v>
      </c>
      <c r="C190" s="107">
        <f t="shared" si="4"/>
        <v>430557558.77440506</v>
      </c>
      <c r="D190" s="107">
        <f t="shared" si="5"/>
        <v>3529160.3178229923</v>
      </c>
      <c r="E190" s="107">
        <f t="shared" si="6"/>
        <v>1937509.0144848228</v>
      </c>
      <c r="F190" s="107">
        <f t="shared" si="1"/>
        <v>5466669.3323078156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6" x14ac:dyDescent="0.3">
      <c r="A191" s="3">
        <f t="shared" si="2"/>
        <v>180</v>
      </c>
      <c r="B191" s="106">
        <f t="shared" si="3"/>
        <v>51829</v>
      </c>
      <c r="C191" s="107">
        <f t="shared" si="4"/>
        <v>427028398.45658207</v>
      </c>
      <c r="D191" s="107">
        <f t="shared" si="5"/>
        <v>3529160.3178229923</v>
      </c>
      <c r="E191" s="107">
        <f t="shared" si="6"/>
        <v>1921627.7930546191</v>
      </c>
      <c r="F191" s="107">
        <f t="shared" si="1"/>
        <v>5450788.1108776117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6" x14ac:dyDescent="0.3">
      <c r="A192" s="3">
        <f t="shared" si="2"/>
        <v>181</v>
      </c>
      <c r="B192" s="106">
        <f t="shared" si="3"/>
        <v>51859</v>
      </c>
      <c r="C192" s="107">
        <f t="shared" si="4"/>
        <v>423499238.13875908</v>
      </c>
      <c r="D192" s="107">
        <f t="shared" si="5"/>
        <v>3529160.3178229923</v>
      </c>
      <c r="E192" s="107">
        <f t="shared" si="6"/>
        <v>1905746.5716244159</v>
      </c>
      <c r="F192" s="107">
        <f t="shared" si="1"/>
        <v>5434906.8894474078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6" x14ac:dyDescent="0.3">
      <c r="A193" s="3">
        <f t="shared" si="2"/>
        <v>182</v>
      </c>
      <c r="B193" s="106">
        <f t="shared" si="3"/>
        <v>51890</v>
      </c>
      <c r="C193" s="107">
        <f t="shared" si="4"/>
        <v>419970077.82093608</v>
      </c>
      <c r="D193" s="107">
        <f t="shared" si="5"/>
        <v>3529160.3178229923</v>
      </c>
      <c r="E193" s="107">
        <f t="shared" si="6"/>
        <v>1889865.3501942123</v>
      </c>
      <c r="F193" s="107">
        <f t="shared" si="1"/>
        <v>5419025.6680172049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6" x14ac:dyDescent="0.3">
      <c r="A194" s="3">
        <f t="shared" si="2"/>
        <v>183</v>
      </c>
      <c r="B194" s="106">
        <f t="shared" si="3"/>
        <v>51921</v>
      </c>
      <c r="C194" s="107">
        <f t="shared" si="4"/>
        <v>416440917.50311309</v>
      </c>
      <c r="D194" s="107">
        <f t="shared" si="5"/>
        <v>3529160.3178229923</v>
      </c>
      <c r="E194" s="107">
        <f t="shared" si="6"/>
        <v>1873984.1287640089</v>
      </c>
      <c r="F194" s="107">
        <f t="shared" si="1"/>
        <v>5403144.446587001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6" x14ac:dyDescent="0.3">
      <c r="A195" s="3">
        <f t="shared" si="2"/>
        <v>184</v>
      </c>
      <c r="B195" s="106">
        <f t="shared" si="3"/>
        <v>51949</v>
      </c>
      <c r="C195" s="107">
        <f t="shared" si="4"/>
        <v>412911757.1852901</v>
      </c>
      <c r="D195" s="107">
        <f t="shared" si="5"/>
        <v>3529160.3178229923</v>
      </c>
      <c r="E195" s="107">
        <f t="shared" si="6"/>
        <v>1858102.9073338055</v>
      </c>
      <c r="F195" s="107">
        <f t="shared" si="1"/>
        <v>5387263.225156798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6" x14ac:dyDescent="0.3">
      <c r="A196" s="3">
        <f t="shared" si="2"/>
        <v>185</v>
      </c>
      <c r="B196" s="106">
        <f t="shared" si="3"/>
        <v>51980</v>
      </c>
      <c r="C196" s="107">
        <f t="shared" si="4"/>
        <v>409382596.86746711</v>
      </c>
      <c r="D196" s="107">
        <f t="shared" si="5"/>
        <v>3529160.3178229923</v>
      </c>
      <c r="E196" s="107">
        <f t="shared" si="6"/>
        <v>1842221.685903602</v>
      </c>
      <c r="F196" s="107">
        <f t="shared" si="1"/>
        <v>5371382.0037265942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6" x14ac:dyDescent="0.3">
      <c r="A197" s="3">
        <f t="shared" si="2"/>
        <v>186</v>
      </c>
      <c r="B197" s="106">
        <f t="shared" si="3"/>
        <v>52010</v>
      </c>
      <c r="C197" s="107">
        <f t="shared" si="4"/>
        <v>405853436.54964411</v>
      </c>
      <c r="D197" s="107">
        <f t="shared" si="5"/>
        <v>3529160.3178229923</v>
      </c>
      <c r="E197" s="107">
        <f t="shared" si="6"/>
        <v>1826340.4644733984</v>
      </c>
      <c r="F197" s="107">
        <f t="shared" si="1"/>
        <v>5355500.7822963912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6" x14ac:dyDescent="0.3">
      <c r="A198" s="3">
        <f t="shared" si="2"/>
        <v>187</v>
      </c>
      <c r="B198" s="106">
        <f t="shared" si="3"/>
        <v>52041</v>
      </c>
      <c r="C198" s="107">
        <f t="shared" si="4"/>
        <v>402324276.23182112</v>
      </c>
      <c r="D198" s="107">
        <f t="shared" si="5"/>
        <v>3529160.3178229923</v>
      </c>
      <c r="E198" s="107">
        <f t="shared" si="6"/>
        <v>1810459.2430431952</v>
      </c>
      <c r="F198" s="107">
        <f t="shared" si="1"/>
        <v>5339619.5608661873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6" x14ac:dyDescent="0.3">
      <c r="A199" s="3">
        <f t="shared" si="2"/>
        <v>188</v>
      </c>
      <c r="B199" s="106">
        <f t="shared" si="3"/>
        <v>52071</v>
      </c>
      <c r="C199" s="107">
        <f t="shared" si="4"/>
        <v>398795115.91399813</v>
      </c>
      <c r="D199" s="107">
        <f t="shared" si="5"/>
        <v>3529160.3178229923</v>
      </c>
      <c r="E199" s="107">
        <f t="shared" si="6"/>
        <v>1794578.0216129916</v>
      </c>
      <c r="F199" s="107">
        <f t="shared" si="1"/>
        <v>5323738.3394359834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6" x14ac:dyDescent="0.3">
      <c r="A200" s="3">
        <f t="shared" si="2"/>
        <v>189</v>
      </c>
      <c r="B200" s="106">
        <f t="shared" si="3"/>
        <v>52102</v>
      </c>
      <c r="C200" s="107">
        <f t="shared" si="4"/>
        <v>395265955.59617513</v>
      </c>
      <c r="D200" s="107">
        <f t="shared" si="5"/>
        <v>3529160.3178229923</v>
      </c>
      <c r="E200" s="107">
        <f t="shared" si="6"/>
        <v>1778696.8001827879</v>
      </c>
      <c r="F200" s="107">
        <f t="shared" si="1"/>
        <v>5307857.1180057805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6" x14ac:dyDescent="0.3">
      <c r="A201" s="3">
        <f t="shared" si="2"/>
        <v>190</v>
      </c>
      <c r="B201" s="106">
        <f t="shared" si="3"/>
        <v>52133</v>
      </c>
      <c r="C201" s="107">
        <f t="shared" si="4"/>
        <v>391736795.27835214</v>
      </c>
      <c r="D201" s="107">
        <f t="shared" si="5"/>
        <v>3529160.3178229923</v>
      </c>
      <c r="E201" s="107">
        <f t="shared" si="6"/>
        <v>1762815.5787525848</v>
      </c>
      <c r="F201" s="107">
        <f t="shared" si="1"/>
        <v>5291975.8965755776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6" x14ac:dyDescent="0.3">
      <c r="A202" s="3">
        <f t="shared" si="2"/>
        <v>191</v>
      </c>
      <c r="B202" s="106">
        <f t="shared" si="3"/>
        <v>52163</v>
      </c>
      <c r="C202" s="107">
        <f t="shared" si="4"/>
        <v>388207634.96052915</v>
      </c>
      <c r="D202" s="107">
        <f t="shared" si="5"/>
        <v>3529160.3178229923</v>
      </c>
      <c r="E202" s="107">
        <f t="shared" si="6"/>
        <v>1746934.3573223811</v>
      </c>
      <c r="F202" s="107">
        <f t="shared" si="1"/>
        <v>5276094.6751453737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6" x14ac:dyDescent="0.3">
      <c r="A203" s="3">
        <f t="shared" si="2"/>
        <v>192</v>
      </c>
      <c r="B203" s="106">
        <f t="shared" si="3"/>
        <v>52194</v>
      </c>
      <c r="C203" s="107">
        <f t="shared" si="4"/>
        <v>384678474.64270616</v>
      </c>
      <c r="D203" s="107">
        <f t="shared" si="5"/>
        <v>3529160.3178229923</v>
      </c>
      <c r="E203" s="107">
        <f t="shared" si="6"/>
        <v>1731053.1358921777</v>
      </c>
      <c r="F203" s="107">
        <f t="shared" si="1"/>
        <v>5260213.4537151698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6" x14ac:dyDescent="0.3">
      <c r="A204" s="3">
        <f t="shared" si="2"/>
        <v>193</v>
      </c>
      <c r="B204" s="106">
        <f t="shared" si="3"/>
        <v>52224</v>
      </c>
      <c r="C204" s="107">
        <f t="shared" si="4"/>
        <v>381149314.32488316</v>
      </c>
      <c r="D204" s="107">
        <f t="shared" si="5"/>
        <v>3529160.3178229923</v>
      </c>
      <c r="E204" s="107">
        <f t="shared" si="6"/>
        <v>1715171.9144619743</v>
      </c>
      <c r="F204" s="107">
        <f t="shared" si="1"/>
        <v>5244332.2322849669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6" x14ac:dyDescent="0.3">
      <c r="A205" s="3">
        <f t="shared" si="2"/>
        <v>194</v>
      </c>
      <c r="B205" s="106">
        <f t="shared" si="3"/>
        <v>52255</v>
      </c>
      <c r="C205" s="107">
        <f t="shared" si="4"/>
        <v>377620154.00706017</v>
      </c>
      <c r="D205" s="107">
        <f t="shared" si="5"/>
        <v>3529160.3178229923</v>
      </c>
      <c r="E205" s="107">
        <f t="shared" si="6"/>
        <v>1699290.6930317709</v>
      </c>
      <c r="F205" s="107">
        <f t="shared" si="1"/>
        <v>5228451.010854763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6" x14ac:dyDescent="0.3">
      <c r="A206" s="3">
        <f t="shared" si="2"/>
        <v>195</v>
      </c>
      <c r="B206" s="106">
        <f t="shared" si="3"/>
        <v>52286</v>
      </c>
      <c r="C206" s="107">
        <f t="shared" si="4"/>
        <v>374090993.68923718</v>
      </c>
      <c r="D206" s="107">
        <f t="shared" si="5"/>
        <v>3529160.3178229923</v>
      </c>
      <c r="E206" s="107">
        <f t="shared" si="6"/>
        <v>1683409.4716015672</v>
      </c>
      <c r="F206" s="107">
        <f t="shared" si="1"/>
        <v>5212569.7894245591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6" x14ac:dyDescent="0.3">
      <c r="A207" s="3">
        <f t="shared" si="2"/>
        <v>196</v>
      </c>
      <c r="B207" s="106">
        <f t="shared" si="3"/>
        <v>52314</v>
      </c>
      <c r="C207" s="107">
        <f t="shared" si="4"/>
        <v>370561833.37141418</v>
      </c>
      <c r="D207" s="107">
        <f t="shared" si="5"/>
        <v>3529160.3178229923</v>
      </c>
      <c r="E207" s="107">
        <f t="shared" si="6"/>
        <v>1667528.2501713636</v>
      </c>
      <c r="F207" s="107">
        <f t="shared" si="1"/>
        <v>5196688.5679943562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6" x14ac:dyDescent="0.3">
      <c r="A208" s="3">
        <f t="shared" si="2"/>
        <v>197</v>
      </c>
      <c r="B208" s="106">
        <f t="shared" si="3"/>
        <v>52345</v>
      </c>
      <c r="C208" s="107">
        <f t="shared" si="4"/>
        <v>367032673.05359119</v>
      </c>
      <c r="D208" s="107">
        <f t="shared" si="5"/>
        <v>3529160.3178229923</v>
      </c>
      <c r="E208" s="107">
        <f t="shared" si="6"/>
        <v>1651647.0287411604</v>
      </c>
      <c r="F208" s="107">
        <f t="shared" si="1"/>
        <v>5180807.3465641532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6" x14ac:dyDescent="0.3">
      <c r="A209" s="3">
        <f t="shared" si="2"/>
        <v>198</v>
      </c>
      <c r="B209" s="106">
        <f t="shared" si="3"/>
        <v>52375</v>
      </c>
      <c r="C209" s="107">
        <f t="shared" si="4"/>
        <v>363503512.7357682</v>
      </c>
      <c r="D209" s="107">
        <f t="shared" si="5"/>
        <v>3529160.3178229923</v>
      </c>
      <c r="E209" s="107">
        <f t="shared" si="6"/>
        <v>1635765.8073109568</v>
      </c>
      <c r="F209" s="107">
        <f t="shared" si="1"/>
        <v>5164926.1251339493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6" x14ac:dyDescent="0.3">
      <c r="A210" s="3">
        <f t="shared" si="2"/>
        <v>199</v>
      </c>
      <c r="B210" s="106">
        <f t="shared" si="3"/>
        <v>52406</v>
      </c>
      <c r="C210" s="107">
        <f t="shared" si="4"/>
        <v>359974352.41794521</v>
      </c>
      <c r="D210" s="107">
        <f t="shared" si="5"/>
        <v>3529160.3178229923</v>
      </c>
      <c r="E210" s="107">
        <f t="shared" si="6"/>
        <v>1619884.5858807534</v>
      </c>
      <c r="F210" s="107">
        <f t="shared" si="1"/>
        <v>5149044.9037037455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6" x14ac:dyDescent="0.3">
      <c r="A211" s="3">
        <f t="shared" si="2"/>
        <v>200</v>
      </c>
      <c r="B211" s="106">
        <f t="shared" si="3"/>
        <v>52436</v>
      </c>
      <c r="C211" s="107">
        <f t="shared" si="4"/>
        <v>356445192.10012221</v>
      </c>
      <c r="D211" s="107">
        <f t="shared" si="5"/>
        <v>3529160.3178229923</v>
      </c>
      <c r="E211" s="107">
        <f t="shared" si="6"/>
        <v>1604003.3644505499</v>
      </c>
      <c r="F211" s="107">
        <f t="shared" si="1"/>
        <v>5133163.6822735425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6" x14ac:dyDescent="0.3">
      <c r="A212" s="3">
        <f t="shared" si="2"/>
        <v>201</v>
      </c>
      <c r="B212" s="106">
        <f t="shared" si="3"/>
        <v>52467</v>
      </c>
      <c r="C212" s="107">
        <f t="shared" si="4"/>
        <v>352916031.78229922</v>
      </c>
      <c r="D212" s="107">
        <f t="shared" si="5"/>
        <v>3529160.3178229923</v>
      </c>
      <c r="E212" s="107">
        <f t="shared" si="6"/>
        <v>1588122.1430203465</v>
      </c>
      <c r="F212" s="107">
        <f t="shared" si="1"/>
        <v>5117282.4608433386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6" x14ac:dyDescent="0.3">
      <c r="A213" s="3">
        <f t="shared" si="2"/>
        <v>202</v>
      </c>
      <c r="B213" s="106">
        <f t="shared" si="3"/>
        <v>52498</v>
      </c>
      <c r="C213" s="107">
        <f t="shared" si="4"/>
        <v>349386871.46447623</v>
      </c>
      <c r="D213" s="107">
        <f t="shared" si="5"/>
        <v>3529160.3178229923</v>
      </c>
      <c r="E213" s="107">
        <f t="shared" si="6"/>
        <v>1572240.9215901429</v>
      </c>
      <c r="F213" s="107">
        <f t="shared" si="1"/>
        <v>5101401.2394131348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6" x14ac:dyDescent="0.3">
      <c r="A214" s="3">
        <f t="shared" si="2"/>
        <v>203</v>
      </c>
      <c r="B214" s="106">
        <f t="shared" si="3"/>
        <v>52528</v>
      </c>
      <c r="C214" s="107">
        <f t="shared" si="4"/>
        <v>345857711.14665323</v>
      </c>
      <c r="D214" s="107">
        <f t="shared" si="5"/>
        <v>3529160.3178229923</v>
      </c>
      <c r="E214" s="107">
        <f t="shared" si="6"/>
        <v>1556359.7001599397</v>
      </c>
      <c r="F214" s="107">
        <f t="shared" si="1"/>
        <v>5085520.0179829318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6" x14ac:dyDescent="0.3">
      <c r="A215" s="3">
        <f t="shared" si="2"/>
        <v>204</v>
      </c>
      <c r="B215" s="106">
        <f t="shared" si="3"/>
        <v>52559</v>
      </c>
      <c r="C215" s="107">
        <f t="shared" si="4"/>
        <v>342328550.82883024</v>
      </c>
      <c r="D215" s="107">
        <f t="shared" si="5"/>
        <v>3529160.3178229923</v>
      </c>
      <c r="E215" s="107">
        <f t="shared" si="6"/>
        <v>1540478.4787297361</v>
      </c>
      <c r="F215" s="107">
        <f t="shared" si="1"/>
        <v>5069638.7965527289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6" x14ac:dyDescent="0.3">
      <c r="A216" s="3">
        <f t="shared" si="2"/>
        <v>205</v>
      </c>
      <c r="B216" s="106">
        <f t="shared" si="3"/>
        <v>52589</v>
      </c>
      <c r="C216" s="107">
        <f t="shared" si="4"/>
        <v>338799390.51100725</v>
      </c>
      <c r="D216" s="107">
        <f t="shared" si="5"/>
        <v>3529160.3178229923</v>
      </c>
      <c r="E216" s="107">
        <f t="shared" si="6"/>
        <v>1524597.2572995324</v>
      </c>
      <c r="F216" s="107">
        <f t="shared" si="1"/>
        <v>5053757.575122525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6" x14ac:dyDescent="0.3">
      <c r="A217" s="3">
        <f t="shared" si="2"/>
        <v>206</v>
      </c>
      <c r="B217" s="106">
        <f t="shared" si="3"/>
        <v>52620</v>
      </c>
      <c r="C217" s="107">
        <f t="shared" si="4"/>
        <v>335270230.19318426</v>
      </c>
      <c r="D217" s="107">
        <f t="shared" si="5"/>
        <v>3529160.3178229923</v>
      </c>
      <c r="E217" s="107">
        <f t="shared" si="6"/>
        <v>1508716.0358693292</v>
      </c>
      <c r="F217" s="107">
        <f t="shared" si="1"/>
        <v>5037876.3536923211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6" x14ac:dyDescent="0.3">
      <c r="A218" s="3">
        <f t="shared" si="2"/>
        <v>207</v>
      </c>
      <c r="B218" s="106">
        <f t="shared" si="3"/>
        <v>52651</v>
      </c>
      <c r="C218" s="107">
        <f t="shared" si="4"/>
        <v>331741069.87536126</v>
      </c>
      <c r="D218" s="107">
        <f t="shared" si="5"/>
        <v>3529160.3178229923</v>
      </c>
      <c r="E218" s="107">
        <f t="shared" si="6"/>
        <v>1492834.8144391256</v>
      </c>
      <c r="F218" s="107">
        <f t="shared" si="1"/>
        <v>5021995.1322621182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6" x14ac:dyDescent="0.3">
      <c r="A219" s="3">
        <f t="shared" si="2"/>
        <v>208</v>
      </c>
      <c r="B219" s="106">
        <f t="shared" si="3"/>
        <v>52680</v>
      </c>
      <c r="C219" s="107">
        <f t="shared" si="4"/>
        <v>328211909.55753827</v>
      </c>
      <c r="D219" s="107">
        <f t="shared" si="5"/>
        <v>3529160.3178229923</v>
      </c>
      <c r="E219" s="107">
        <f t="shared" si="6"/>
        <v>1476953.5930089222</v>
      </c>
      <c r="F219" s="107">
        <f t="shared" si="1"/>
        <v>5006113.9108319143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6" x14ac:dyDescent="0.3">
      <c r="A220" s="3">
        <f t="shared" si="2"/>
        <v>209</v>
      </c>
      <c r="B220" s="106">
        <f t="shared" si="3"/>
        <v>52711</v>
      </c>
      <c r="C220" s="107">
        <f t="shared" si="4"/>
        <v>324682749.23971528</v>
      </c>
      <c r="D220" s="107">
        <f t="shared" si="5"/>
        <v>3529160.3178229923</v>
      </c>
      <c r="E220" s="107">
        <f t="shared" si="6"/>
        <v>1461072.3715787188</v>
      </c>
      <c r="F220" s="107">
        <f t="shared" si="1"/>
        <v>4990232.6894017113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6" x14ac:dyDescent="0.3">
      <c r="A221" s="3">
        <f t="shared" si="2"/>
        <v>210</v>
      </c>
      <c r="B221" s="106">
        <f t="shared" si="3"/>
        <v>52741</v>
      </c>
      <c r="C221" s="107">
        <f t="shared" si="4"/>
        <v>321153588.92189229</v>
      </c>
      <c r="D221" s="107">
        <f t="shared" si="5"/>
        <v>3529160.3178229923</v>
      </c>
      <c r="E221" s="107">
        <f t="shared" si="6"/>
        <v>1445191.1501485154</v>
      </c>
      <c r="F221" s="107">
        <f t="shared" si="1"/>
        <v>4974351.4679715075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6" x14ac:dyDescent="0.3">
      <c r="A222" s="3">
        <f t="shared" si="2"/>
        <v>211</v>
      </c>
      <c r="B222" s="106">
        <f t="shared" si="3"/>
        <v>52772</v>
      </c>
      <c r="C222" s="107">
        <f t="shared" si="4"/>
        <v>317624428.60406929</v>
      </c>
      <c r="D222" s="107">
        <f t="shared" si="5"/>
        <v>3529160.3178229923</v>
      </c>
      <c r="E222" s="107">
        <f t="shared" si="6"/>
        <v>1429309.9287183117</v>
      </c>
      <c r="F222" s="107">
        <f t="shared" si="1"/>
        <v>4958470.2465413045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6" x14ac:dyDescent="0.3">
      <c r="A223" s="3">
        <f t="shared" si="2"/>
        <v>212</v>
      </c>
      <c r="B223" s="106">
        <f t="shared" si="3"/>
        <v>52802</v>
      </c>
      <c r="C223" s="107">
        <f t="shared" si="4"/>
        <v>314095268.2862463</v>
      </c>
      <c r="D223" s="107">
        <f t="shared" si="5"/>
        <v>3529160.3178229923</v>
      </c>
      <c r="E223" s="107">
        <f t="shared" si="6"/>
        <v>1413428.7072881085</v>
      </c>
      <c r="F223" s="107">
        <f t="shared" si="1"/>
        <v>4942589.0251111006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6" x14ac:dyDescent="0.3">
      <c r="A224" s="3">
        <f t="shared" si="2"/>
        <v>213</v>
      </c>
      <c r="B224" s="106">
        <f t="shared" si="3"/>
        <v>52833</v>
      </c>
      <c r="C224" s="107">
        <f t="shared" si="4"/>
        <v>310566107.96842331</v>
      </c>
      <c r="D224" s="107">
        <f t="shared" si="5"/>
        <v>3529160.3178229923</v>
      </c>
      <c r="E224" s="107">
        <f t="shared" si="6"/>
        <v>1397547.4858579049</v>
      </c>
      <c r="F224" s="107">
        <f t="shared" si="1"/>
        <v>4926707.8036808968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6" x14ac:dyDescent="0.3">
      <c r="A225" s="3">
        <f t="shared" si="2"/>
        <v>214</v>
      </c>
      <c r="B225" s="106">
        <f t="shared" si="3"/>
        <v>52864</v>
      </c>
      <c r="C225" s="107">
        <f t="shared" si="4"/>
        <v>307036947.65060031</v>
      </c>
      <c r="D225" s="107">
        <f t="shared" si="5"/>
        <v>3529160.3178229923</v>
      </c>
      <c r="E225" s="107">
        <f t="shared" si="6"/>
        <v>1381666.2644277012</v>
      </c>
      <c r="F225" s="107">
        <f t="shared" si="1"/>
        <v>4910826.5822506938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6" x14ac:dyDescent="0.3">
      <c r="A226" s="3">
        <f t="shared" si="2"/>
        <v>215</v>
      </c>
      <c r="B226" s="106">
        <f t="shared" si="3"/>
        <v>52894</v>
      </c>
      <c r="C226" s="107">
        <f t="shared" si="4"/>
        <v>303507787.33277732</v>
      </c>
      <c r="D226" s="107">
        <f t="shared" si="5"/>
        <v>3529160.3178229923</v>
      </c>
      <c r="E226" s="107">
        <f t="shared" si="6"/>
        <v>1365785.0429974978</v>
      </c>
      <c r="F226" s="107">
        <f t="shared" si="1"/>
        <v>4894945.3608204899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6" x14ac:dyDescent="0.3">
      <c r="A227" s="3">
        <f t="shared" si="2"/>
        <v>216</v>
      </c>
      <c r="B227" s="106">
        <f t="shared" si="3"/>
        <v>52925</v>
      </c>
      <c r="C227" s="107">
        <f t="shared" si="4"/>
        <v>299978627.01495433</v>
      </c>
      <c r="D227" s="107">
        <f t="shared" si="5"/>
        <v>3529160.3178229919</v>
      </c>
      <c r="E227" s="107">
        <f t="shared" si="6"/>
        <v>1349903.8215672944</v>
      </c>
      <c r="F227" s="107">
        <f t="shared" si="1"/>
        <v>4879064.1393902861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6" x14ac:dyDescent="0.3">
      <c r="A228" s="3">
        <f t="shared" si="2"/>
        <v>217</v>
      </c>
      <c r="B228" s="106">
        <f t="shared" si="3"/>
        <v>52955</v>
      </c>
      <c r="C228" s="107">
        <f t="shared" si="4"/>
        <v>296449466.69713134</v>
      </c>
      <c r="D228" s="107">
        <f t="shared" si="5"/>
        <v>3529160.3178229919</v>
      </c>
      <c r="E228" s="107">
        <f t="shared" si="6"/>
        <v>1334022.600137091</v>
      </c>
      <c r="F228" s="107">
        <f t="shared" si="1"/>
        <v>4863182.9179600831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6" x14ac:dyDescent="0.3">
      <c r="A229" s="3">
        <f t="shared" si="2"/>
        <v>218</v>
      </c>
      <c r="B229" s="106">
        <f t="shared" si="3"/>
        <v>52986</v>
      </c>
      <c r="C229" s="107">
        <f t="shared" si="4"/>
        <v>292920306.37930834</v>
      </c>
      <c r="D229" s="107">
        <f t="shared" si="5"/>
        <v>3529160.3178229919</v>
      </c>
      <c r="E229" s="107">
        <f t="shared" si="6"/>
        <v>1318141.3787068876</v>
      </c>
      <c r="F229" s="107">
        <f t="shared" si="1"/>
        <v>4847301.6965298792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6" x14ac:dyDescent="0.3">
      <c r="A230" s="3">
        <f t="shared" si="2"/>
        <v>219</v>
      </c>
      <c r="B230" s="106">
        <f t="shared" si="3"/>
        <v>53017</v>
      </c>
      <c r="C230" s="107">
        <f t="shared" si="4"/>
        <v>289391146.06148535</v>
      </c>
      <c r="D230" s="107">
        <f t="shared" si="5"/>
        <v>3529160.3178229919</v>
      </c>
      <c r="E230" s="107">
        <f t="shared" si="6"/>
        <v>1302260.1572766842</v>
      </c>
      <c r="F230" s="107">
        <f t="shared" si="1"/>
        <v>4831420.4750996763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6" x14ac:dyDescent="0.3">
      <c r="A231" s="3">
        <f t="shared" si="2"/>
        <v>220</v>
      </c>
      <c r="B231" s="106">
        <f t="shared" si="3"/>
        <v>53045</v>
      </c>
      <c r="C231" s="107">
        <f t="shared" si="4"/>
        <v>285861985.74366236</v>
      </c>
      <c r="D231" s="107">
        <f t="shared" si="5"/>
        <v>3529160.3178229919</v>
      </c>
      <c r="E231" s="107">
        <f t="shared" si="6"/>
        <v>1286378.9358464805</v>
      </c>
      <c r="F231" s="107">
        <f t="shared" si="1"/>
        <v>4815539.2536694724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6" x14ac:dyDescent="0.3">
      <c r="A232" s="3">
        <f t="shared" si="2"/>
        <v>221</v>
      </c>
      <c r="B232" s="106">
        <f t="shared" si="3"/>
        <v>53076</v>
      </c>
      <c r="C232" s="107">
        <f t="shared" si="4"/>
        <v>282332825.42583936</v>
      </c>
      <c r="D232" s="107">
        <f t="shared" si="5"/>
        <v>3529160.3178229919</v>
      </c>
      <c r="E232" s="107">
        <f t="shared" si="6"/>
        <v>1270497.7144162771</v>
      </c>
      <c r="F232" s="107">
        <f t="shared" si="1"/>
        <v>4799658.0322392695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6" x14ac:dyDescent="0.3">
      <c r="A233" s="3">
        <f t="shared" si="2"/>
        <v>222</v>
      </c>
      <c r="B233" s="106">
        <f t="shared" si="3"/>
        <v>53106</v>
      </c>
      <c r="C233" s="107">
        <f t="shared" si="4"/>
        <v>278803665.10801637</v>
      </c>
      <c r="D233" s="107">
        <f t="shared" si="5"/>
        <v>3529160.3178229919</v>
      </c>
      <c r="E233" s="107">
        <f t="shared" si="6"/>
        <v>1254616.4929860737</v>
      </c>
      <c r="F233" s="107">
        <f t="shared" si="1"/>
        <v>4783776.8108090656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6" x14ac:dyDescent="0.3">
      <c r="A234" s="3">
        <f t="shared" si="2"/>
        <v>223</v>
      </c>
      <c r="B234" s="106">
        <f t="shared" si="3"/>
        <v>53137</v>
      </c>
      <c r="C234" s="107">
        <f t="shared" si="4"/>
        <v>275274504.79019338</v>
      </c>
      <c r="D234" s="107">
        <f t="shared" si="5"/>
        <v>3529160.3178229919</v>
      </c>
      <c r="E234" s="107">
        <f t="shared" si="6"/>
        <v>1238735.2715558701</v>
      </c>
      <c r="F234" s="107">
        <f t="shared" si="1"/>
        <v>4767895.5893788617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6" x14ac:dyDescent="0.3">
      <c r="A235" s="3">
        <f t="shared" si="2"/>
        <v>224</v>
      </c>
      <c r="B235" s="106">
        <f t="shared" si="3"/>
        <v>53167</v>
      </c>
      <c r="C235" s="107">
        <f t="shared" si="4"/>
        <v>271745344.47237039</v>
      </c>
      <c r="D235" s="107">
        <f t="shared" si="5"/>
        <v>3529160.3178229919</v>
      </c>
      <c r="E235" s="107">
        <f t="shared" si="6"/>
        <v>1222854.0501256667</v>
      </c>
      <c r="F235" s="107">
        <f t="shared" si="1"/>
        <v>4752014.3679486588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6" x14ac:dyDescent="0.3">
      <c r="A236" s="3">
        <f t="shared" si="2"/>
        <v>225</v>
      </c>
      <c r="B236" s="106">
        <f t="shared" si="3"/>
        <v>53198</v>
      </c>
      <c r="C236" s="107">
        <f t="shared" si="4"/>
        <v>268216184.15454739</v>
      </c>
      <c r="D236" s="107">
        <f t="shared" si="5"/>
        <v>3529160.3178229919</v>
      </c>
      <c r="E236" s="107">
        <f t="shared" si="6"/>
        <v>1206972.8286954632</v>
      </c>
      <c r="F236" s="107">
        <f t="shared" si="1"/>
        <v>4736133.1465184549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6" x14ac:dyDescent="0.3">
      <c r="A237" s="3">
        <f t="shared" si="2"/>
        <v>226</v>
      </c>
      <c r="B237" s="106">
        <f t="shared" si="3"/>
        <v>53229</v>
      </c>
      <c r="C237" s="107">
        <f t="shared" si="4"/>
        <v>264687023.8367244</v>
      </c>
      <c r="D237" s="107">
        <f t="shared" si="5"/>
        <v>3529160.3178229919</v>
      </c>
      <c r="E237" s="107">
        <f t="shared" si="6"/>
        <v>1191091.6072652598</v>
      </c>
      <c r="F237" s="107">
        <f t="shared" si="1"/>
        <v>4720251.9250882519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6" x14ac:dyDescent="0.3">
      <c r="A238" s="3">
        <f t="shared" si="2"/>
        <v>227</v>
      </c>
      <c r="B238" s="106">
        <f t="shared" si="3"/>
        <v>53259</v>
      </c>
      <c r="C238" s="107">
        <f t="shared" si="4"/>
        <v>261157863.51890141</v>
      </c>
      <c r="D238" s="107">
        <f t="shared" si="5"/>
        <v>3529160.3178229919</v>
      </c>
      <c r="E238" s="107">
        <f t="shared" si="6"/>
        <v>1175210.3858350564</v>
      </c>
      <c r="F238" s="107">
        <f t="shared" si="1"/>
        <v>4704370.7036580481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6" x14ac:dyDescent="0.3">
      <c r="A239" s="3">
        <f t="shared" si="2"/>
        <v>228</v>
      </c>
      <c r="B239" s="106">
        <f t="shared" si="3"/>
        <v>53290</v>
      </c>
      <c r="C239" s="107">
        <f t="shared" si="4"/>
        <v>257628703.20107841</v>
      </c>
      <c r="D239" s="107">
        <f t="shared" si="5"/>
        <v>3529160.3178229919</v>
      </c>
      <c r="E239" s="107">
        <f t="shared" si="6"/>
        <v>1159329.1644048528</v>
      </c>
      <c r="F239" s="107">
        <f t="shared" si="1"/>
        <v>4688489.4822278451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6" x14ac:dyDescent="0.3">
      <c r="A240" s="3">
        <f t="shared" si="2"/>
        <v>229</v>
      </c>
      <c r="B240" s="106">
        <f t="shared" si="3"/>
        <v>53320</v>
      </c>
      <c r="C240" s="107">
        <f t="shared" si="4"/>
        <v>254099542.88325542</v>
      </c>
      <c r="D240" s="107">
        <f t="shared" si="5"/>
        <v>3529160.3178229919</v>
      </c>
      <c r="E240" s="107">
        <f t="shared" si="6"/>
        <v>1143447.9429746494</v>
      </c>
      <c r="F240" s="107">
        <f t="shared" si="1"/>
        <v>4672608.2607976412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6" x14ac:dyDescent="0.3">
      <c r="A241" s="3">
        <f t="shared" si="2"/>
        <v>230</v>
      </c>
      <c r="B241" s="106">
        <f t="shared" si="3"/>
        <v>53351</v>
      </c>
      <c r="C241" s="107">
        <f t="shared" si="4"/>
        <v>250570382.56543243</v>
      </c>
      <c r="D241" s="107">
        <f t="shared" si="5"/>
        <v>3529160.3178229919</v>
      </c>
      <c r="E241" s="107">
        <f t="shared" si="6"/>
        <v>1127566.721544446</v>
      </c>
      <c r="F241" s="107">
        <f t="shared" si="1"/>
        <v>4656727.0393674374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6" x14ac:dyDescent="0.3">
      <c r="A242" s="3">
        <f t="shared" si="2"/>
        <v>231</v>
      </c>
      <c r="B242" s="106">
        <f t="shared" si="3"/>
        <v>53382</v>
      </c>
      <c r="C242" s="107">
        <f t="shared" si="4"/>
        <v>247041222.24760944</v>
      </c>
      <c r="D242" s="107">
        <f t="shared" si="5"/>
        <v>3529160.3178229919</v>
      </c>
      <c r="E242" s="107">
        <f t="shared" si="6"/>
        <v>1111685.5001142423</v>
      </c>
      <c r="F242" s="107">
        <f t="shared" si="1"/>
        <v>4640845.8179372344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6" x14ac:dyDescent="0.3">
      <c r="A243" s="3">
        <f t="shared" si="2"/>
        <v>232</v>
      </c>
      <c r="B243" s="106">
        <f t="shared" si="3"/>
        <v>53410</v>
      </c>
      <c r="C243" s="107">
        <f t="shared" si="4"/>
        <v>243512061.92978644</v>
      </c>
      <c r="D243" s="107">
        <f t="shared" si="5"/>
        <v>3529160.3178229919</v>
      </c>
      <c r="E243" s="107">
        <f t="shared" si="6"/>
        <v>1095804.2786840389</v>
      </c>
      <c r="F243" s="107">
        <f t="shared" si="1"/>
        <v>4624964.5965070305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6" x14ac:dyDescent="0.3">
      <c r="A244" s="3">
        <f t="shared" si="2"/>
        <v>233</v>
      </c>
      <c r="B244" s="106">
        <f t="shared" si="3"/>
        <v>53441</v>
      </c>
      <c r="C244" s="107">
        <f t="shared" si="4"/>
        <v>239982901.61196345</v>
      </c>
      <c r="D244" s="107">
        <f t="shared" si="5"/>
        <v>3529160.3178229919</v>
      </c>
      <c r="E244" s="107">
        <f t="shared" si="6"/>
        <v>1079923.0572538355</v>
      </c>
      <c r="F244" s="107">
        <f t="shared" si="1"/>
        <v>4609083.3750768276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6" x14ac:dyDescent="0.3">
      <c r="A245" s="3">
        <f t="shared" si="2"/>
        <v>234</v>
      </c>
      <c r="B245" s="106">
        <f t="shared" si="3"/>
        <v>53471</v>
      </c>
      <c r="C245" s="107">
        <f t="shared" si="4"/>
        <v>236453741.29414046</v>
      </c>
      <c r="D245" s="107">
        <f t="shared" si="5"/>
        <v>3529160.3178229919</v>
      </c>
      <c r="E245" s="107">
        <f t="shared" si="6"/>
        <v>1064041.8358236321</v>
      </c>
      <c r="F245" s="107">
        <f t="shared" si="1"/>
        <v>4593202.1536466237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6" x14ac:dyDescent="0.3">
      <c r="A246" s="3">
        <f t="shared" si="2"/>
        <v>235</v>
      </c>
      <c r="B246" s="106">
        <f t="shared" si="3"/>
        <v>53502</v>
      </c>
      <c r="C246" s="107">
        <f t="shared" si="4"/>
        <v>232924580.97631747</v>
      </c>
      <c r="D246" s="107">
        <f t="shared" si="5"/>
        <v>3529160.3178229919</v>
      </c>
      <c r="E246" s="107">
        <f t="shared" si="6"/>
        <v>1048160.6143934286</v>
      </c>
      <c r="F246" s="107">
        <f t="shared" si="1"/>
        <v>4577320.9322164208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6" x14ac:dyDescent="0.3">
      <c r="A247" s="3">
        <f t="shared" si="2"/>
        <v>236</v>
      </c>
      <c r="B247" s="106">
        <f t="shared" si="3"/>
        <v>53532</v>
      </c>
      <c r="C247" s="107">
        <f t="shared" si="4"/>
        <v>229395420.65849447</v>
      </c>
      <c r="D247" s="107">
        <f t="shared" si="5"/>
        <v>3529160.3178229919</v>
      </c>
      <c r="E247" s="107">
        <f t="shared" si="6"/>
        <v>1032279.3929632251</v>
      </c>
      <c r="F247" s="107">
        <f t="shared" si="1"/>
        <v>4561439.7107862169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6" x14ac:dyDescent="0.3">
      <c r="A248" s="3">
        <f t="shared" si="2"/>
        <v>237</v>
      </c>
      <c r="B248" s="106">
        <f t="shared" si="3"/>
        <v>53563</v>
      </c>
      <c r="C248" s="107">
        <f t="shared" si="4"/>
        <v>225866260.34067148</v>
      </c>
      <c r="D248" s="107">
        <f t="shared" si="5"/>
        <v>3529160.3178229919</v>
      </c>
      <c r="E248" s="107">
        <f t="shared" si="6"/>
        <v>1016398.1715330216</v>
      </c>
      <c r="F248" s="107">
        <f t="shared" si="1"/>
        <v>4545558.489356013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6" x14ac:dyDescent="0.3">
      <c r="A249" s="3">
        <f t="shared" si="2"/>
        <v>238</v>
      </c>
      <c r="B249" s="106">
        <f t="shared" si="3"/>
        <v>53594</v>
      </c>
      <c r="C249" s="107">
        <f t="shared" si="4"/>
        <v>222337100.02284849</v>
      </c>
      <c r="D249" s="107">
        <f t="shared" si="5"/>
        <v>3529160.3178229919</v>
      </c>
      <c r="E249" s="107">
        <f t="shared" si="6"/>
        <v>1000516.9501028182</v>
      </c>
      <c r="F249" s="107">
        <f t="shared" si="1"/>
        <v>4529677.2679258101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6" x14ac:dyDescent="0.3">
      <c r="A250" s="3">
        <f t="shared" si="2"/>
        <v>239</v>
      </c>
      <c r="B250" s="106">
        <f t="shared" si="3"/>
        <v>53624</v>
      </c>
      <c r="C250" s="107">
        <f t="shared" si="4"/>
        <v>218807939.70502549</v>
      </c>
      <c r="D250" s="107">
        <f t="shared" si="5"/>
        <v>3529160.3178229919</v>
      </c>
      <c r="E250" s="107">
        <f t="shared" si="6"/>
        <v>984635.72867261479</v>
      </c>
      <c r="F250" s="107">
        <f t="shared" si="1"/>
        <v>4513796.0464956071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6" x14ac:dyDescent="0.3">
      <c r="A251" s="3">
        <f t="shared" si="2"/>
        <v>240</v>
      </c>
      <c r="B251" s="106">
        <f t="shared" si="3"/>
        <v>53655</v>
      </c>
      <c r="C251" s="107">
        <f t="shared" si="4"/>
        <v>215278779.3872025</v>
      </c>
      <c r="D251" s="107">
        <f t="shared" si="5"/>
        <v>3529160.3178229919</v>
      </c>
      <c r="E251" s="107">
        <f t="shared" si="6"/>
        <v>968754.50724241126</v>
      </c>
      <c r="F251" s="107">
        <f t="shared" si="1"/>
        <v>4497914.8250654032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6" x14ac:dyDescent="0.3">
      <c r="A252" s="3">
        <f t="shared" si="2"/>
        <v>241</v>
      </c>
      <c r="B252" s="106">
        <f t="shared" si="3"/>
        <v>53685</v>
      </c>
      <c r="C252" s="107">
        <f t="shared" si="4"/>
        <v>211749619.06937951</v>
      </c>
      <c r="D252" s="107">
        <f t="shared" si="5"/>
        <v>3529160.3178229919</v>
      </c>
      <c r="E252" s="107">
        <f t="shared" si="6"/>
        <v>952873.28581220785</v>
      </c>
      <c r="F252" s="107">
        <f t="shared" si="1"/>
        <v>4482033.6036351994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6" x14ac:dyDescent="0.3">
      <c r="A253" s="3">
        <f t="shared" si="2"/>
        <v>242</v>
      </c>
      <c r="B253" s="106">
        <f t="shared" si="3"/>
        <v>53716</v>
      </c>
      <c r="C253" s="107">
        <f t="shared" si="4"/>
        <v>208220458.75155652</v>
      </c>
      <c r="D253" s="107">
        <f t="shared" si="5"/>
        <v>3529160.3178229919</v>
      </c>
      <c r="E253" s="107">
        <f t="shared" si="6"/>
        <v>936992.0643820042</v>
      </c>
      <c r="F253" s="107">
        <f t="shared" si="1"/>
        <v>4466152.3822049964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6" x14ac:dyDescent="0.3">
      <c r="A254" s="3">
        <f t="shared" si="2"/>
        <v>243</v>
      </c>
      <c r="B254" s="106">
        <f t="shared" si="3"/>
        <v>53747</v>
      </c>
      <c r="C254" s="107">
        <f t="shared" si="4"/>
        <v>204691298.43373352</v>
      </c>
      <c r="D254" s="107">
        <f t="shared" si="5"/>
        <v>3529160.3178229919</v>
      </c>
      <c r="E254" s="107">
        <f t="shared" si="6"/>
        <v>921110.84295180079</v>
      </c>
      <c r="F254" s="107">
        <f t="shared" si="1"/>
        <v>4450271.1607747925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6" x14ac:dyDescent="0.3">
      <c r="A255" s="3">
        <f t="shared" si="2"/>
        <v>244</v>
      </c>
      <c r="B255" s="106">
        <f t="shared" si="3"/>
        <v>53775</v>
      </c>
      <c r="C255" s="107">
        <f t="shared" si="4"/>
        <v>201162138.11591053</v>
      </c>
      <c r="D255" s="107">
        <f t="shared" si="5"/>
        <v>3529160.3178229919</v>
      </c>
      <c r="E255" s="107">
        <f t="shared" si="6"/>
        <v>905229.62152159738</v>
      </c>
      <c r="F255" s="107">
        <f t="shared" si="1"/>
        <v>4434389.9393445896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6" x14ac:dyDescent="0.3">
      <c r="A256" s="3">
        <f t="shared" si="2"/>
        <v>245</v>
      </c>
      <c r="B256" s="106">
        <f t="shared" si="3"/>
        <v>53806</v>
      </c>
      <c r="C256" s="107">
        <f t="shared" si="4"/>
        <v>197632977.79808754</v>
      </c>
      <c r="D256" s="107">
        <f t="shared" si="5"/>
        <v>3529160.3178229919</v>
      </c>
      <c r="E256" s="107">
        <f t="shared" si="6"/>
        <v>889348.40009139385</v>
      </c>
      <c r="F256" s="107">
        <f t="shared" si="1"/>
        <v>4418508.7179143857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6" x14ac:dyDescent="0.3">
      <c r="A257" s="3">
        <f t="shared" si="2"/>
        <v>246</v>
      </c>
      <c r="B257" s="106">
        <f t="shared" si="3"/>
        <v>53836</v>
      </c>
      <c r="C257" s="107">
        <f t="shared" si="4"/>
        <v>194103817.48026454</v>
      </c>
      <c r="D257" s="107">
        <f t="shared" si="5"/>
        <v>3529160.3178229919</v>
      </c>
      <c r="E257" s="107">
        <f t="shared" si="6"/>
        <v>873467.17866119044</v>
      </c>
      <c r="F257" s="107">
        <f t="shared" si="1"/>
        <v>4402627.4964841828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6" x14ac:dyDescent="0.3">
      <c r="A258" s="3">
        <f t="shared" si="2"/>
        <v>247</v>
      </c>
      <c r="B258" s="106">
        <f t="shared" si="3"/>
        <v>53867</v>
      </c>
      <c r="C258" s="107">
        <f t="shared" si="4"/>
        <v>190574657.16244155</v>
      </c>
      <c r="D258" s="107">
        <f t="shared" si="5"/>
        <v>3529160.3178229919</v>
      </c>
      <c r="E258" s="107">
        <f t="shared" si="6"/>
        <v>857585.95723098703</v>
      </c>
      <c r="F258" s="107">
        <f t="shared" si="1"/>
        <v>4386746.2750539789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6" x14ac:dyDescent="0.3">
      <c r="A259" s="3">
        <f t="shared" si="2"/>
        <v>248</v>
      </c>
      <c r="B259" s="106">
        <f t="shared" si="3"/>
        <v>53897</v>
      </c>
      <c r="C259" s="107">
        <f t="shared" si="4"/>
        <v>187045496.84461856</v>
      </c>
      <c r="D259" s="107">
        <f t="shared" si="5"/>
        <v>3529160.3178229919</v>
      </c>
      <c r="E259" s="107">
        <f t="shared" si="6"/>
        <v>841704.7358007835</v>
      </c>
      <c r="F259" s="107">
        <f t="shared" si="1"/>
        <v>4370865.053623775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6" x14ac:dyDescent="0.3">
      <c r="A260" s="3">
        <f t="shared" si="2"/>
        <v>249</v>
      </c>
      <c r="B260" s="106">
        <f t="shared" si="3"/>
        <v>53928</v>
      </c>
      <c r="C260" s="107">
        <f t="shared" si="4"/>
        <v>183516336.52679557</v>
      </c>
      <c r="D260" s="107">
        <f t="shared" si="5"/>
        <v>3529160.3178229919</v>
      </c>
      <c r="E260" s="107">
        <f t="shared" si="6"/>
        <v>825823.51437058009</v>
      </c>
      <c r="F260" s="107">
        <f t="shared" si="1"/>
        <v>4354983.8321935721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6" x14ac:dyDescent="0.3">
      <c r="A261" s="3">
        <f t="shared" si="2"/>
        <v>250</v>
      </c>
      <c r="B261" s="106">
        <f t="shared" si="3"/>
        <v>53959</v>
      </c>
      <c r="C261" s="107">
        <f t="shared" si="4"/>
        <v>179987176.20897257</v>
      </c>
      <c r="D261" s="107">
        <f t="shared" si="5"/>
        <v>3529160.3178229914</v>
      </c>
      <c r="E261" s="107">
        <f t="shared" si="6"/>
        <v>809942.29294037668</v>
      </c>
      <c r="F261" s="107">
        <f t="shared" si="1"/>
        <v>4339102.6107633682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6" x14ac:dyDescent="0.3">
      <c r="A262" s="3">
        <f t="shared" si="2"/>
        <v>251</v>
      </c>
      <c r="B262" s="106">
        <f t="shared" si="3"/>
        <v>53989</v>
      </c>
      <c r="C262" s="107">
        <f t="shared" si="4"/>
        <v>176458015.89114958</v>
      </c>
      <c r="D262" s="107">
        <f t="shared" si="5"/>
        <v>3529160.3178229914</v>
      </c>
      <c r="E262" s="107">
        <f t="shared" si="6"/>
        <v>794061.07151017303</v>
      </c>
      <c r="F262" s="107">
        <f t="shared" si="1"/>
        <v>4323221.3893331643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6" x14ac:dyDescent="0.3">
      <c r="A263" s="3">
        <f t="shared" si="2"/>
        <v>252</v>
      </c>
      <c r="B263" s="106">
        <f t="shared" si="3"/>
        <v>54020</v>
      </c>
      <c r="C263" s="107">
        <f t="shared" si="4"/>
        <v>172928855.57332659</v>
      </c>
      <c r="D263" s="107">
        <f t="shared" si="5"/>
        <v>3529160.3178229914</v>
      </c>
      <c r="E263" s="107">
        <f t="shared" si="6"/>
        <v>778179.85007996962</v>
      </c>
      <c r="F263" s="107">
        <f t="shared" si="1"/>
        <v>4307340.1679029614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6" x14ac:dyDescent="0.3">
      <c r="A264" s="3">
        <f t="shared" si="2"/>
        <v>253</v>
      </c>
      <c r="B264" s="106">
        <f t="shared" si="3"/>
        <v>54050</v>
      </c>
      <c r="C264" s="107">
        <f t="shared" si="4"/>
        <v>169399695.25550359</v>
      </c>
      <c r="D264" s="107">
        <f t="shared" si="5"/>
        <v>3529160.3178229914</v>
      </c>
      <c r="E264" s="107">
        <f t="shared" si="6"/>
        <v>762298.62864976609</v>
      </c>
      <c r="F264" s="107">
        <f t="shared" si="1"/>
        <v>4291458.9464727575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6" x14ac:dyDescent="0.3">
      <c r="A265" s="3">
        <f t="shared" si="2"/>
        <v>254</v>
      </c>
      <c r="B265" s="106">
        <f t="shared" si="3"/>
        <v>54081</v>
      </c>
      <c r="C265" s="107">
        <f t="shared" si="4"/>
        <v>165870534.9376806</v>
      </c>
      <c r="D265" s="107">
        <f t="shared" si="5"/>
        <v>3529160.3178229914</v>
      </c>
      <c r="E265" s="107">
        <f t="shared" si="6"/>
        <v>746417.40721956268</v>
      </c>
      <c r="F265" s="107">
        <f t="shared" si="1"/>
        <v>4275577.7250425536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6" x14ac:dyDescent="0.3">
      <c r="A266" s="3">
        <f t="shared" si="2"/>
        <v>255</v>
      </c>
      <c r="B266" s="106">
        <f t="shared" si="3"/>
        <v>54112</v>
      </c>
      <c r="C266" s="107">
        <f t="shared" si="4"/>
        <v>162341374.61985761</v>
      </c>
      <c r="D266" s="107">
        <f t="shared" si="5"/>
        <v>3529160.3178229914</v>
      </c>
      <c r="E266" s="107">
        <f t="shared" si="6"/>
        <v>730536.18578935927</v>
      </c>
      <c r="F266" s="107">
        <f t="shared" si="1"/>
        <v>4259696.5036123507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6" x14ac:dyDescent="0.3">
      <c r="A267" s="3">
        <f t="shared" si="2"/>
        <v>256</v>
      </c>
      <c r="B267" s="106">
        <f t="shared" si="3"/>
        <v>54141</v>
      </c>
      <c r="C267" s="107">
        <f t="shared" si="4"/>
        <v>158812214.30203462</v>
      </c>
      <c r="D267" s="107">
        <f t="shared" si="5"/>
        <v>3529160.3178229914</v>
      </c>
      <c r="E267" s="107">
        <f t="shared" si="6"/>
        <v>714654.96435915574</v>
      </c>
      <c r="F267" s="107">
        <f t="shared" ref="F267:F311" si="7">D267+E267</f>
        <v>4243815.2821821468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6" x14ac:dyDescent="0.3">
      <c r="A268" s="3">
        <f t="shared" ref="A268:A311" si="8">A267+1</f>
        <v>257</v>
      </c>
      <c r="B268" s="106">
        <f t="shared" ref="B268:B311" si="9">EDATE(B267, 1)</f>
        <v>54172</v>
      </c>
      <c r="C268" s="107">
        <f t="shared" ref="C268:C311" si="10">C267-D267+IF(B268=$D$5,$C$5,0)+IF(B268=$D$6,$C$6,0)</f>
        <v>155283053.98421162</v>
      </c>
      <c r="D268" s="107">
        <f t="shared" ref="D268:D311" si="11">C268/($C$7-A268+1)</f>
        <v>3529160.3178229914</v>
      </c>
      <c r="E268" s="107">
        <f t="shared" si="6"/>
        <v>698773.74292895233</v>
      </c>
      <c r="F268" s="107">
        <f t="shared" si="7"/>
        <v>4227934.0607519438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6" x14ac:dyDescent="0.3">
      <c r="A269" s="3">
        <f t="shared" si="8"/>
        <v>258</v>
      </c>
      <c r="B269" s="106">
        <f t="shared" si="9"/>
        <v>54202</v>
      </c>
      <c r="C269" s="107">
        <f t="shared" si="10"/>
        <v>151753893.66638863</v>
      </c>
      <c r="D269" s="107">
        <f t="shared" si="11"/>
        <v>3529160.3178229914</v>
      </c>
      <c r="E269" s="107">
        <f t="shared" ref="E269:E311" si="12">(C268-D268)*$C$8/12</f>
        <v>682892.5214987488</v>
      </c>
      <c r="F269" s="107">
        <f t="shared" si="7"/>
        <v>4212052.83932174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6" x14ac:dyDescent="0.3">
      <c r="A270" s="3">
        <f t="shared" si="8"/>
        <v>259</v>
      </c>
      <c r="B270" s="106">
        <f t="shared" si="9"/>
        <v>54233</v>
      </c>
      <c r="C270" s="107">
        <f t="shared" si="10"/>
        <v>148224733.34856564</v>
      </c>
      <c r="D270" s="107">
        <f t="shared" si="11"/>
        <v>3529160.3178229914</v>
      </c>
      <c r="E270" s="107">
        <f t="shared" si="12"/>
        <v>667011.30006854539</v>
      </c>
      <c r="F270" s="107">
        <f t="shared" si="7"/>
        <v>4196171.617891537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6" x14ac:dyDescent="0.3">
      <c r="A271" s="3">
        <f t="shared" si="8"/>
        <v>260</v>
      </c>
      <c r="B271" s="106">
        <f t="shared" si="9"/>
        <v>54263</v>
      </c>
      <c r="C271" s="107">
        <f t="shared" si="10"/>
        <v>144695573.03074265</v>
      </c>
      <c r="D271" s="107">
        <f t="shared" si="11"/>
        <v>3529160.3178229914</v>
      </c>
      <c r="E271" s="107">
        <f t="shared" si="12"/>
        <v>651130.07863834186</v>
      </c>
      <c r="F271" s="107">
        <f t="shared" si="7"/>
        <v>4180290.3964613331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6" x14ac:dyDescent="0.3">
      <c r="A272" s="3">
        <f t="shared" si="8"/>
        <v>261</v>
      </c>
      <c r="B272" s="106">
        <f t="shared" si="9"/>
        <v>54294</v>
      </c>
      <c r="C272" s="107">
        <f t="shared" si="10"/>
        <v>141166412.71291965</v>
      </c>
      <c r="D272" s="107">
        <f t="shared" si="11"/>
        <v>3529160.3178229914</v>
      </c>
      <c r="E272" s="107">
        <f t="shared" si="12"/>
        <v>635248.85720813845</v>
      </c>
      <c r="F272" s="107">
        <f t="shared" si="7"/>
        <v>4164409.1750311297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6" x14ac:dyDescent="0.3">
      <c r="A273" s="3">
        <f t="shared" si="8"/>
        <v>262</v>
      </c>
      <c r="B273" s="106">
        <f t="shared" si="9"/>
        <v>54325</v>
      </c>
      <c r="C273" s="107">
        <f t="shared" si="10"/>
        <v>137637252.39509666</v>
      </c>
      <c r="D273" s="107">
        <f t="shared" si="11"/>
        <v>3529160.3178229914</v>
      </c>
      <c r="E273" s="107">
        <f t="shared" si="12"/>
        <v>619367.63577793504</v>
      </c>
      <c r="F273" s="107">
        <f t="shared" si="7"/>
        <v>4148527.9536009263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6" x14ac:dyDescent="0.3">
      <c r="A274" s="3">
        <f t="shared" si="8"/>
        <v>263</v>
      </c>
      <c r="B274" s="106">
        <f t="shared" si="9"/>
        <v>54355</v>
      </c>
      <c r="C274" s="107">
        <f t="shared" si="10"/>
        <v>134108092.07727367</v>
      </c>
      <c r="D274" s="107">
        <f t="shared" si="11"/>
        <v>3529160.3178229914</v>
      </c>
      <c r="E274" s="107">
        <f t="shared" si="12"/>
        <v>603486.41434773151</v>
      </c>
      <c r="F274" s="107">
        <f t="shared" si="7"/>
        <v>4132646.7321707229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6" x14ac:dyDescent="0.3">
      <c r="A275" s="3">
        <f t="shared" si="8"/>
        <v>264</v>
      </c>
      <c r="B275" s="106">
        <f t="shared" si="9"/>
        <v>54386</v>
      </c>
      <c r="C275" s="107">
        <f t="shared" si="10"/>
        <v>130578931.75945067</v>
      </c>
      <c r="D275" s="107">
        <f t="shared" si="11"/>
        <v>3529160.3178229914</v>
      </c>
      <c r="E275" s="107">
        <f t="shared" si="12"/>
        <v>587605.19291752798</v>
      </c>
      <c r="F275" s="107">
        <f t="shared" si="7"/>
        <v>4116765.5107405195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6" x14ac:dyDescent="0.3">
      <c r="A276" s="3">
        <f t="shared" si="8"/>
        <v>265</v>
      </c>
      <c r="B276" s="106">
        <f t="shared" si="9"/>
        <v>54416</v>
      </c>
      <c r="C276" s="107">
        <f t="shared" si="10"/>
        <v>127049771.44162768</v>
      </c>
      <c r="D276" s="107">
        <f t="shared" si="11"/>
        <v>3529160.3178229909</v>
      </c>
      <c r="E276" s="107">
        <f t="shared" si="12"/>
        <v>571723.97148732457</v>
      </c>
      <c r="F276" s="107">
        <f t="shared" si="7"/>
        <v>4100884.2893103156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6" x14ac:dyDescent="0.3">
      <c r="A277" s="3">
        <f t="shared" si="8"/>
        <v>266</v>
      </c>
      <c r="B277" s="106">
        <f t="shared" si="9"/>
        <v>54447</v>
      </c>
      <c r="C277" s="107">
        <f t="shared" si="10"/>
        <v>123520611.12380469</v>
      </c>
      <c r="D277" s="107">
        <f t="shared" si="11"/>
        <v>3529160.3178229909</v>
      </c>
      <c r="E277" s="107">
        <f t="shared" si="12"/>
        <v>555842.75005712116</v>
      </c>
      <c r="F277" s="107">
        <f t="shared" si="7"/>
        <v>4085003.0678801122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6" x14ac:dyDescent="0.3">
      <c r="A278" s="3">
        <f t="shared" si="8"/>
        <v>267</v>
      </c>
      <c r="B278" s="106">
        <f t="shared" si="9"/>
        <v>54478</v>
      </c>
      <c r="C278" s="107">
        <f t="shared" si="10"/>
        <v>119991450.8059817</v>
      </c>
      <c r="D278" s="107">
        <f t="shared" si="11"/>
        <v>3529160.3178229909</v>
      </c>
      <c r="E278" s="107">
        <f t="shared" si="12"/>
        <v>539961.52862691763</v>
      </c>
      <c r="F278" s="107">
        <f t="shared" si="7"/>
        <v>4069121.8464499088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6" x14ac:dyDescent="0.3">
      <c r="A279" s="3">
        <f t="shared" si="8"/>
        <v>268</v>
      </c>
      <c r="B279" s="106">
        <f t="shared" si="9"/>
        <v>54506</v>
      </c>
      <c r="C279" s="107">
        <f t="shared" si="10"/>
        <v>116462290.4881587</v>
      </c>
      <c r="D279" s="107">
        <f t="shared" si="11"/>
        <v>3529160.3178229909</v>
      </c>
      <c r="E279" s="107">
        <f t="shared" si="12"/>
        <v>524080.30719671416</v>
      </c>
      <c r="F279" s="107">
        <f t="shared" si="7"/>
        <v>4053240.6250197049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6" x14ac:dyDescent="0.3">
      <c r="A280" s="3">
        <f t="shared" si="8"/>
        <v>269</v>
      </c>
      <c r="B280" s="106">
        <f t="shared" si="9"/>
        <v>54537</v>
      </c>
      <c r="C280" s="107">
        <f t="shared" si="10"/>
        <v>112933130.17033571</v>
      </c>
      <c r="D280" s="107">
        <f t="shared" si="11"/>
        <v>3529160.3178229909</v>
      </c>
      <c r="E280" s="107">
        <f t="shared" si="12"/>
        <v>508199.08576651075</v>
      </c>
      <c r="F280" s="107">
        <f t="shared" si="7"/>
        <v>4037359.4035895015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6" x14ac:dyDescent="0.3">
      <c r="A281" s="3">
        <f t="shared" si="8"/>
        <v>270</v>
      </c>
      <c r="B281" s="106">
        <f t="shared" si="9"/>
        <v>54567</v>
      </c>
      <c r="C281" s="107">
        <f t="shared" si="10"/>
        <v>109403969.85251272</v>
      </c>
      <c r="D281" s="107">
        <f t="shared" si="11"/>
        <v>3529160.3178229909</v>
      </c>
      <c r="E281" s="107">
        <f t="shared" si="12"/>
        <v>492317.86433630722</v>
      </c>
      <c r="F281" s="107">
        <f t="shared" si="7"/>
        <v>4021478.1821592981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6" x14ac:dyDescent="0.3">
      <c r="A282" s="3">
        <f t="shared" si="8"/>
        <v>271</v>
      </c>
      <c r="B282" s="106">
        <f t="shared" si="9"/>
        <v>54598</v>
      </c>
      <c r="C282" s="107">
        <f t="shared" si="10"/>
        <v>105874809.53468972</v>
      </c>
      <c r="D282" s="107">
        <f t="shared" si="11"/>
        <v>3529160.3178229909</v>
      </c>
      <c r="E282" s="107">
        <f t="shared" si="12"/>
        <v>476436.64290610375</v>
      </c>
      <c r="F282" s="107">
        <f t="shared" si="7"/>
        <v>4005596.9607290947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6" x14ac:dyDescent="0.3">
      <c r="A283" s="3">
        <f t="shared" si="8"/>
        <v>272</v>
      </c>
      <c r="B283" s="106">
        <f t="shared" si="9"/>
        <v>54628</v>
      </c>
      <c r="C283" s="107">
        <f t="shared" si="10"/>
        <v>102345649.21686673</v>
      </c>
      <c r="D283" s="107">
        <f t="shared" si="11"/>
        <v>3529160.3178229909</v>
      </c>
      <c r="E283" s="107">
        <f t="shared" si="12"/>
        <v>460555.42147590028</v>
      </c>
      <c r="F283" s="107">
        <f t="shared" si="7"/>
        <v>3989715.7392988913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6" x14ac:dyDescent="0.3">
      <c r="A284" s="3">
        <f t="shared" si="8"/>
        <v>273</v>
      </c>
      <c r="B284" s="106">
        <f t="shared" si="9"/>
        <v>54659</v>
      </c>
      <c r="C284" s="107">
        <f t="shared" si="10"/>
        <v>98816488.899043739</v>
      </c>
      <c r="D284" s="107">
        <f t="shared" si="11"/>
        <v>3529160.3178229905</v>
      </c>
      <c r="E284" s="107">
        <f t="shared" si="12"/>
        <v>444674.20004569687</v>
      </c>
      <c r="F284" s="107">
        <f t="shared" si="7"/>
        <v>3973834.5178686874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6" x14ac:dyDescent="0.3">
      <c r="A285" s="3">
        <f t="shared" si="8"/>
        <v>274</v>
      </c>
      <c r="B285" s="106">
        <f t="shared" si="9"/>
        <v>54690</v>
      </c>
      <c r="C285" s="107">
        <f t="shared" si="10"/>
        <v>95287328.581220746</v>
      </c>
      <c r="D285" s="107">
        <f t="shared" si="11"/>
        <v>3529160.3178229905</v>
      </c>
      <c r="E285" s="107">
        <f t="shared" si="12"/>
        <v>428792.97861549334</v>
      </c>
      <c r="F285" s="107">
        <f t="shared" si="7"/>
        <v>3957953.296438484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6" x14ac:dyDescent="0.3">
      <c r="A286" s="3">
        <f t="shared" si="8"/>
        <v>275</v>
      </c>
      <c r="B286" s="106">
        <f t="shared" si="9"/>
        <v>54720</v>
      </c>
      <c r="C286" s="107">
        <f t="shared" si="10"/>
        <v>91758168.263397753</v>
      </c>
      <c r="D286" s="107">
        <f t="shared" si="11"/>
        <v>3529160.3178229905</v>
      </c>
      <c r="E286" s="107">
        <f t="shared" si="12"/>
        <v>412911.75718528987</v>
      </c>
      <c r="F286" s="107">
        <f t="shared" si="7"/>
        <v>3942072.0750082806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6" x14ac:dyDescent="0.3">
      <c r="A287" s="3">
        <f t="shared" si="8"/>
        <v>276</v>
      </c>
      <c r="B287" s="106">
        <f t="shared" si="9"/>
        <v>54751</v>
      </c>
      <c r="C287" s="107">
        <f t="shared" si="10"/>
        <v>88229007.94557476</v>
      </c>
      <c r="D287" s="107">
        <f t="shared" si="11"/>
        <v>3529160.3178229905</v>
      </c>
      <c r="E287" s="107">
        <f t="shared" si="12"/>
        <v>397030.5357550864</v>
      </c>
      <c r="F287" s="107">
        <f t="shared" si="7"/>
        <v>3926190.8535780767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6" x14ac:dyDescent="0.3">
      <c r="A288" s="3">
        <f t="shared" si="8"/>
        <v>277</v>
      </c>
      <c r="B288" s="106">
        <f t="shared" si="9"/>
        <v>54781</v>
      </c>
      <c r="C288" s="107">
        <f t="shared" si="10"/>
        <v>84699847.627751768</v>
      </c>
      <c r="D288" s="107">
        <f t="shared" si="11"/>
        <v>3529160.3178229905</v>
      </c>
      <c r="E288" s="107">
        <f t="shared" si="12"/>
        <v>381149.31432488299</v>
      </c>
      <c r="F288" s="107">
        <f t="shared" si="7"/>
        <v>3910309.6321478733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6" x14ac:dyDescent="0.3">
      <c r="A289" s="3">
        <f t="shared" si="8"/>
        <v>278</v>
      </c>
      <c r="B289" s="106">
        <f t="shared" si="9"/>
        <v>54812</v>
      </c>
      <c r="C289" s="107">
        <f t="shared" si="10"/>
        <v>81170687.309928775</v>
      </c>
      <c r="D289" s="107">
        <f t="shared" si="11"/>
        <v>3529160.31782299</v>
      </c>
      <c r="E289" s="107">
        <f t="shared" si="12"/>
        <v>365268.09289467946</v>
      </c>
      <c r="F289" s="107">
        <f t="shared" si="7"/>
        <v>3894428.4107176694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6" x14ac:dyDescent="0.3">
      <c r="A290" s="3">
        <f t="shared" si="8"/>
        <v>279</v>
      </c>
      <c r="B290" s="106">
        <f t="shared" si="9"/>
        <v>54843</v>
      </c>
      <c r="C290" s="107">
        <f t="shared" si="10"/>
        <v>77641526.992105782</v>
      </c>
      <c r="D290" s="107">
        <f t="shared" si="11"/>
        <v>3529160.31782299</v>
      </c>
      <c r="E290" s="107">
        <f t="shared" si="12"/>
        <v>349386.87146447605</v>
      </c>
      <c r="F290" s="107">
        <f t="shared" si="7"/>
        <v>3878547.189287466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6" x14ac:dyDescent="0.3">
      <c r="A291" s="3">
        <f t="shared" si="8"/>
        <v>280</v>
      </c>
      <c r="B291" s="106">
        <f t="shared" si="9"/>
        <v>54871</v>
      </c>
      <c r="C291" s="107">
        <f t="shared" si="10"/>
        <v>74112366.674282789</v>
      </c>
      <c r="D291" s="107">
        <f t="shared" si="11"/>
        <v>3529160.31782299</v>
      </c>
      <c r="E291" s="107">
        <f t="shared" si="12"/>
        <v>333505.65003427252</v>
      </c>
      <c r="F291" s="107">
        <f t="shared" si="7"/>
        <v>3862665.9678572626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6" x14ac:dyDescent="0.3">
      <c r="A292" s="3">
        <f t="shared" si="8"/>
        <v>281</v>
      </c>
      <c r="B292" s="106">
        <f t="shared" si="9"/>
        <v>54902</v>
      </c>
      <c r="C292" s="107">
        <f t="shared" si="10"/>
        <v>70583206.356459796</v>
      </c>
      <c r="D292" s="107">
        <f t="shared" si="11"/>
        <v>3529160.31782299</v>
      </c>
      <c r="E292" s="107">
        <f t="shared" si="12"/>
        <v>317624.42860406911</v>
      </c>
      <c r="F292" s="107">
        <f t="shared" si="7"/>
        <v>3846784.7464270592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6" x14ac:dyDescent="0.3">
      <c r="A293" s="3">
        <f t="shared" si="8"/>
        <v>282</v>
      </c>
      <c r="B293" s="106">
        <f t="shared" si="9"/>
        <v>54932</v>
      </c>
      <c r="C293" s="107">
        <f t="shared" si="10"/>
        <v>67054046.038636804</v>
      </c>
      <c r="D293" s="107">
        <f t="shared" si="11"/>
        <v>3529160.3178229895</v>
      </c>
      <c r="E293" s="107">
        <f t="shared" si="12"/>
        <v>301743.20717386558</v>
      </c>
      <c r="F293" s="107">
        <f t="shared" si="7"/>
        <v>3830903.5249968553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6" x14ac:dyDescent="0.3">
      <c r="A294" s="3">
        <f t="shared" si="8"/>
        <v>283</v>
      </c>
      <c r="B294" s="106">
        <f t="shared" si="9"/>
        <v>54963</v>
      </c>
      <c r="C294" s="107">
        <f t="shared" si="10"/>
        <v>63524885.720813811</v>
      </c>
      <c r="D294" s="107">
        <f t="shared" si="11"/>
        <v>3529160.3178229895</v>
      </c>
      <c r="E294" s="107">
        <f t="shared" si="12"/>
        <v>285861.98574366217</v>
      </c>
      <c r="F294" s="107">
        <f t="shared" si="7"/>
        <v>3815022.3035666519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6" x14ac:dyDescent="0.3">
      <c r="A295" s="3">
        <f t="shared" si="8"/>
        <v>284</v>
      </c>
      <c r="B295" s="106">
        <f t="shared" si="9"/>
        <v>54993</v>
      </c>
      <c r="C295" s="107">
        <f t="shared" si="10"/>
        <v>59995725.402990818</v>
      </c>
      <c r="D295" s="107">
        <f t="shared" si="11"/>
        <v>3529160.3178229891</v>
      </c>
      <c r="E295" s="107">
        <f t="shared" si="12"/>
        <v>269980.76431345864</v>
      </c>
      <c r="F295" s="107">
        <f t="shared" si="7"/>
        <v>3799141.0821364475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6" x14ac:dyDescent="0.3">
      <c r="A296" s="3">
        <f t="shared" si="8"/>
        <v>285</v>
      </c>
      <c r="B296" s="106">
        <f t="shared" si="9"/>
        <v>55024</v>
      </c>
      <c r="C296" s="107">
        <f t="shared" si="10"/>
        <v>56466565.085167825</v>
      </c>
      <c r="D296" s="107">
        <f t="shared" si="11"/>
        <v>3529160.3178229891</v>
      </c>
      <c r="E296" s="107">
        <f t="shared" si="12"/>
        <v>254099.5428832552</v>
      </c>
      <c r="F296" s="107">
        <f t="shared" si="7"/>
        <v>3783259.8607062441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6" x14ac:dyDescent="0.3">
      <c r="A297" s="3">
        <f t="shared" si="8"/>
        <v>286</v>
      </c>
      <c r="B297" s="106">
        <f t="shared" si="9"/>
        <v>55055</v>
      </c>
      <c r="C297" s="107">
        <f t="shared" si="10"/>
        <v>52937404.767344832</v>
      </c>
      <c r="D297" s="107">
        <f t="shared" si="11"/>
        <v>3529160.3178229886</v>
      </c>
      <c r="E297" s="107">
        <f t="shared" si="12"/>
        <v>238218.32145305176</v>
      </c>
      <c r="F297" s="107">
        <f t="shared" si="7"/>
        <v>3767378.6392760403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6" x14ac:dyDescent="0.3">
      <c r="A298" s="3">
        <f t="shared" si="8"/>
        <v>287</v>
      </c>
      <c r="B298" s="106">
        <f t="shared" si="9"/>
        <v>55085</v>
      </c>
      <c r="C298" s="107">
        <f t="shared" si="10"/>
        <v>49408244.449521847</v>
      </c>
      <c r="D298" s="107">
        <f t="shared" si="11"/>
        <v>3529160.3178229891</v>
      </c>
      <c r="E298" s="107">
        <f t="shared" si="12"/>
        <v>222337.10002284832</v>
      </c>
      <c r="F298" s="107">
        <f t="shared" si="7"/>
        <v>3751497.4178458373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6" x14ac:dyDescent="0.3">
      <c r="A299" s="3">
        <f t="shared" si="8"/>
        <v>288</v>
      </c>
      <c r="B299" s="106">
        <f t="shared" si="9"/>
        <v>55116</v>
      </c>
      <c r="C299" s="107">
        <f t="shared" si="10"/>
        <v>45879084.131698862</v>
      </c>
      <c r="D299" s="107">
        <f t="shared" si="11"/>
        <v>3529160.3178229895</v>
      </c>
      <c r="E299" s="107">
        <f t="shared" si="12"/>
        <v>206455.87859264485</v>
      </c>
      <c r="F299" s="107">
        <f t="shared" si="7"/>
        <v>3735616.1964156344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6" x14ac:dyDescent="0.3">
      <c r="A300" s="3">
        <f t="shared" si="8"/>
        <v>289</v>
      </c>
      <c r="B300" s="106">
        <f t="shared" si="9"/>
        <v>55146</v>
      </c>
      <c r="C300" s="107">
        <f t="shared" si="10"/>
        <v>42349923.813875869</v>
      </c>
      <c r="D300" s="107">
        <f t="shared" si="11"/>
        <v>3529160.3178229891</v>
      </c>
      <c r="E300" s="107">
        <f t="shared" si="12"/>
        <v>190574.65716244141</v>
      </c>
      <c r="F300" s="107">
        <f t="shared" si="7"/>
        <v>3719734.9749854305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6" x14ac:dyDescent="0.3">
      <c r="A301" s="3">
        <f t="shared" si="8"/>
        <v>290</v>
      </c>
      <c r="B301" s="106">
        <f t="shared" si="9"/>
        <v>55177</v>
      </c>
      <c r="C301" s="107">
        <f t="shared" si="10"/>
        <v>38820763.496052876</v>
      </c>
      <c r="D301" s="107">
        <f t="shared" si="11"/>
        <v>3529160.3178229886</v>
      </c>
      <c r="E301" s="107">
        <f t="shared" si="12"/>
        <v>174693.43573223794</v>
      </c>
      <c r="F301" s="107">
        <f t="shared" si="7"/>
        <v>3703853.7535552266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6" x14ac:dyDescent="0.3">
      <c r="A302" s="3">
        <f t="shared" si="8"/>
        <v>291</v>
      </c>
      <c r="B302" s="106">
        <f t="shared" si="9"/>
        <v>55208</v>
      </c>
      <c r="C302" s="107">
        <f t="shared" si="10"/>
        <v>35291603.178229891</v>
      </c>
      <c r="D302" s="107">
        <f t="shared" si="11"/>
        <v>3529160.3178229891</v>
      </c>
      <c r="E302" s="107">
        <f t="shared" si="12"/>
        <v>158812.2143020345</v>
      </c>
      <c r="F302" s="107">
        <f t="shared" si="7"/>
        <v>3687972.5321250237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6" x14ac:dyDescent="0.3">
      <c r="A303" s="3">
        <f t="shared" si="8"/>
        <v>292</v>
      </c>
      <c r="B303" s="106">
        <f t="shared" si="9"/>
        <v>55236</v>
      </c>
      <c r="C303" s="107">
        <f t="shared" si="10"/>
        <v>31762442.860406902</v>
      </c>
      <c r="D303" s="107">
        <f t="shared" si="11"/>
        <v>3529160.3178229891</v>
      </c>
      <c r="E303" s="107">
        <f t="shared" si="12"/>
        <v>142930.99287183105</v>
      </c>
      <c r="F303" s="107">
        <f t="shared" si="7"/>
        <v>3672091.3106948202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6" x14ac:dyDescent="0.3">
      <c r="A304" s="3">
        <f t="shared" si="8"/>
        <v>293</v>
      </c>
      <c r="B304" s="106">
        <f t="shared" si="9"/>
        <v>55267</v>
      </c>
      <c r="C304" s="107">
        <f t="shared" si="10"/>
        <v>28233282.542583913</v>
      </c>
      <c r="D304" s="107">
        <f t="shared" si="11"/>
        <v>3529160.3178229891</v>
      </c>
      <c r="E304" s="107">
        <f t="shared" si="12"/>
        <v>127049.7714416276</v>
      </c>
      <c r="F304" s="107">
        <f t="shared" si="7"/>
        <v>3656210.0892646168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6" x14ac:dyDescent="0.3">
      <c r="A305" s="3">
        <f t="shared" si="8"/>
        <v>294</v>
      </c>
      <c r="B305" s="106">
        <f t="shared" si="9"/>
        <v>55297</v>
      </c>
      <c r="C305" s="107">
        <f t="shared" si="10"/>
        <v>24704122.224760924</v>
      </c>
      <c r="D305" s="107">
        <f t="shared" si="11"/>
        <v>3529160.3178229891</v>
      </c>
      <c r="E305" s="107">
        <f t="shared" si="12"/>
        <v>111168.55001142416</v>
      </c>
      <c r="F305" s="107">
        <f t="shared" si="7"/>
        <v>3640328.8678344134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6" x14ac:dyDescent="0.3">
      <c r="A306" s="3">
        <f t="shared" si="8"/>
        <v>295</v>
      </c>
      <c r="B306" s="106">
        <f t="shared" si="9"/>
        <v>55328</v>
      </c>
      <c r="C306" s="107">
        <f t="shared" si="10"/>
        <v>21174961.906937934</v>
      </c>
      <c r="D306" s="107">
        <f t="shared" si="11"/>
        <v>3529160.3178229891</v>
      </c>
      <c r="E306" s="107">
        <f t="shared" si="12"/>
        <v>95287.328581220703</v>
      </c>
      <c r="F306" s="107">
        <f t="shared" si="7"/>
        <v>3624447.6464042095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6" x14ac:dyDescent="0.3">
      <c r="A307" s="3">
        <f t="shared" si="8"/>
        <v>296</v>
      </c>
      <c r="B307" s="106">
        <f t="shared" si="9"/>
        <v>55358</v>
      </c>
      <c r="C307" s="107">
        <f t="shared" si="10"/>
        <v>17645801.589114945</v>
      </c>
      <c r="D307" s="107">
        <f t="shared" si="11"/>
        <v>3529160.3178229891</v>
      </c>
      <c r="E307" s="107">
        <f t="shared" si="12"/>
        <v>79406.107151017248</v>
      </c>
      <c r="F307" s="107">
        <f t="shared" si="7"/>
        <v>3608566.4249740061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6" x14ac:dyDescent="0.3">
      <c r="A308" s="3">
        <f t="shared" si="8"/>
        <v>297</v>
      </c>
      <c r="B308" s="106">
        <f t="shared" si="9"/>
        <v>55389</v>
      </c>
      <c r="C308" s="107">
        <f t="shared" si="10"/>
        <v>14116641.271291956</v>
      </c>
      <c r="D308" s="107">
        <f t="shared" si="11"/>
        <v>3529160.3178229891</v>
      </c>
      <c r="E308" s="107">
        <f t="shared" si="12"/>
        <v>63524.8857208138</v>
      </c>
      <c r="F308" s="107">
        <f t="shared" si="7"/>
        <v>3592685.2035438027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6" x14ac:dyDescent="0.3">
      <c r="A309" s="3">
        <f t="shared" si="8"/>
        <v>298</v>
      </c>
      <c r="B309" s="106">
        <f t="shared" si="9"/>
        <v>55420</v>
      </c>
      <c r="C309" s="107">
        <f t="shared" si="10"/>
        <v>10587480.953468967</v>
      </c>
      <c r="D309" s="107">
        <f t="shared" si="11"/>
        <v>3529160.3178229891</v>
      </c>
      <c r="E309" s="107">
        <f t="shared" si="12"/>
        <v>47643.664290610352</v>
      </c>
      <c r="F309" s="107">
        <f t="shared" si="7"/>
        <v>3576803.9821135993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6" x14ac:dyDescent="0.3">
      <c r="A310" s="3">
        <f t="shared" si="8"/>
        <v>299</v>
      </c>
      <c r="B310" s="106">
        <f t="shared" si="9"/>
        <v>55450</v>
      </c>
      <c r="C310" s="107">
        <f t="shared" si="10"/>
        <v>7058320.6356459782</v>
      </c>
      <c r="D310" s="107">
        <f t="shared" si="11"/>
        <v>3529160.3178229891</v>
      </c>
      <c r="E310" s="107">
        <f t="shared" si="12"/>
        <v>31762.4428604069</v>
      </c>
      <c r="F310" s="107">
        <f t="shared" si="7"/>
        <v>3560922.7606833959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6" x14ac:dyDescent="0.3">
      <c r="A311" s="3">
        <f t="shared" si="8"/>
        <v>300</v>
      </c>
      <c r="B311" s="106">
        <f t="shared" si="9"/>
        <v>55481</v>
      </c>
      <c r="C311" s="107">
        <f t="shared" si="10"/>
        <v>3529160.3178229891</v>
      </c>
      <c r="D311" s="107">
        <f t="shared" si="11"/>
        <v>3529160.3178229891</v>
      </c>
      <c r="E311" s="107">
        <f t="shared" si="12"/>
        <v>15881.22143020345</v>
      </c>
      <c r="F311" s="107">
        <f t="shared" si="7"/>
        <v>3545041.5392531925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6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6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6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6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6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6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6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6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6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6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6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6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6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6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6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6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6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6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6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6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6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6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6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6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6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6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6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6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6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6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6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6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6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6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6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6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6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6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6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6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6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6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6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6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6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6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6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6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6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6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6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6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6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6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6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6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6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6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6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6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6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6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6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6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6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6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6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6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6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6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6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6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6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6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6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6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6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6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6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6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6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6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6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6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6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6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6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6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6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6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6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6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6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6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6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6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6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6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6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6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6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6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6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6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6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6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6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6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6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6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6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6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6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6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6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6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6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6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6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6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6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6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6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6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6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6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6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6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6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6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6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6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6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6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6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6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6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6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6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6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6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6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6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6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6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6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6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6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6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6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6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6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6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6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6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6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6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6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6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6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6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6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6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6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6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6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6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6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6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6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6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6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6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6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6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6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6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6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6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6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6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6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6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6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6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6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6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6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6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6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6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6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6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6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6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6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6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6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6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6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6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6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6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6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6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6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6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6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6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6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6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6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6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6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6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6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6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6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6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6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6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6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6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6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6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6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6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6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6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6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6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6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6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6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6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6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6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6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6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6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6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6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6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6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6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6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6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6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6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6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6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6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6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6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6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6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6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6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6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6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6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6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6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6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6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6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6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6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6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6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6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6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6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6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6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6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6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6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6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6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6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6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6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6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6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6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6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6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6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6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6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6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6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6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6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6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6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6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6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6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6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6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6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6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6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6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6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6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6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6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6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6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6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6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6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6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6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6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6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6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6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6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6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6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6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6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6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6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6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6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6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6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6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6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6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6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6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6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6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6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6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6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6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6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6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6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6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6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6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6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6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6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6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6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6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6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6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6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6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6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6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6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6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6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6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6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6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6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6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6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6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6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6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6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6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6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6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6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6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6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6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6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6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6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6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6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6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6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6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6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6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6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6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6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6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6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6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6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6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6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6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6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6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6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6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6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6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6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6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6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6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6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6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6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6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6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6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6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6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6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6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6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6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6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6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6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6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6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6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6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6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6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6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6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6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6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6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6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6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6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6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6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6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6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6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6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6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6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6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6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6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6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6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6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6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6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6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6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6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6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6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6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6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6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6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6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6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6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6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6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6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6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6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6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6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6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6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6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6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6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6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6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6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6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6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6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6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6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6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6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6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6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6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6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6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6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6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6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6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6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6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6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6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6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6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6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6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6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6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6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6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6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6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6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6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6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6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6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6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6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6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6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6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6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6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6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6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6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6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6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6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6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6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6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6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6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6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6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6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6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6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6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6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6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6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6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6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6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6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6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6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6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6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6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6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6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6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6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6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6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6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6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6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6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6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6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6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6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6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6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6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6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6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6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6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6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6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6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6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6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6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6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6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6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6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6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6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6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6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6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6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6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6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6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6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6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6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6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6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6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6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6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6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6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6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6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6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6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6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6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6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6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6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6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6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6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6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6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6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6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6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6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6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6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6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6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6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6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6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6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6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6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6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6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6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6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6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6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6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6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6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6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6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6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6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6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6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6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6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6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6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6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6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6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6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6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6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6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6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6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6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6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6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6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6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6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6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6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6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6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6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6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6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6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6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6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6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6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6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6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6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6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6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6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6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6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6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6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6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1:C1"/>
    <mergeCell ref="E4:E6"/>
    <mergeCell ref="A10:F10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ĐIỀN THÔNG TIN </vt:lpstr>
      <vt:lpstr>CITY VIEW</vt:lpstr>
      <vt:lpstr>MIDTOWN</vt:lpstr>
      <vt:lpstr>AVENUE</vt:lpstr>
      <vt:lpstr>Lãi Vay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van tho</dc:creator>
  <cp:lastModifiedBy>Thien Duy</cp:lastModifiedBy>
  <dcterms:created xsi:type="dcterms:W3CDTF">2025-04-19T00:58:46Z</dcterms:created>
  <dcterms:modified xsi:type="dcterms:W3CDTF">2026-09-03T08:49:13Z</dcterms:modified>
</cp:coreProperties>
</file>